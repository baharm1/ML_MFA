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haran\University of Michigan Dropbox\Baharan Meghdadi\Baharan-Deepak\ML_manuscript\ML_MFA\13C_scMFA\patient_input_purine\MTHF_estimation\"/>
    </mc:Choice>
  </mc:AlternateContent>
  <xr:revisionPtr revIDLastSave="0" documentId="13_ncr:1_{AF02B973-D41D-499F-900A-93985FA49A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P" sheetId="17" r:id="rId1"/>
    <sheet name="GBM38" sheetId="1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8" l="1"/>
  <c r="L4" i="18" s="1"/>
  <c r="E4" i="18"/>
  <c r="F3" i="18"/>
  <c r="L3" i="18" s="1"/>
  <c r="E3" i="18"/>
  <c r="L2" i="18"/>
  <c r="E8" i="18" s="1"/>
  <c r="L7" i="18" s="1"/>
  <c r="F4" i="17"/>
  <c r="L4" i="17" s="1"/>
  <c r="G10" i="17" s="1"/>
  <c r="L11" i="17" s="1"/>
  <c r="E4" i="17"/>
  <c r="L3" i="17" s="1"/>
  <c r="F8" i="17" s="1"/>
  <c r="F3" i="17"/>
  <c r="E3" i="17"/>
  <c r="L2" i="17" s="1"/>
  <c r="F8" i="18" l="1"/>
  <c r="F10" i="18"/>
  <c r="F9" i="18"/>
  <c r="E20" i="18"/>
  <c r="E16" i="18"/>
  <c r="E19" i="18"/>
  <c r="E15" i="18"/>
  <c r="L14" i="18" s="1"/>
  <c r="E18" i="18"/>
  <c r="E17" i="18"/>
  <c r="G9" i="18"/>
  <c r="L10" i="18" s="1"/>
  <c r="G10" i="18"/>
  <c r="L11" i="18" s="1"/>
  <c r="G8" i="18"/>
  <c r="E9" i="18"/>
  <c r="E10" i="18"/>
  <c r="I20" i="17"/>
  <c r="L23" i="17" s="1"/>
  <c r="I16" i="17"/>
  <c r="I19" i="17"/>
  <c r="I15" i="17"/>
  <c r="I18" i="17"/>
  <c r="I17" i="17"/>
  <c r="E8" i="17"/>
  <c r="L7" i="17" s="1"/>
  <c r="E9" i="17"/>
  <c r="L8" i="17" s="1"/>
  <c r="E10" i="17"/>
  <c r="F9" i="17"/>
  <c r="G9" i="17"/>
  <c r="F10" i="17"/>
  <c r="G8" i="17"/>
  <c r="L9" i="18" l="1"/>
  <c r="G15" i="18" s="1"/>
  <c r="L9" i="17"/>
  <c r="G20" i="18"/>
  <c r="G16" i="18"/>
  <c r="G19" i="18"/>
  <c r="G18" i="18"/>
  <c r="G17" i="18"/>
  <c r="I20" i="18"/>
  <c r="L23" i="18" s="1"/>
  <c r="I16" i="18"/>
  <c r="I19" i="18"/>
  <c r="I15" i="18"/>
  <c r="I18" i="18"/>
  <c r="I17" i="18"/>
  <c r="H20" i="18"/>
  <c r="L22" i="18" s="1"/>
  <c r="H16" i="18"/>
  <c r="H15" i="18"/>
  <c r="H19" i="18"/>
  <c r="H18" i="18"/>
  <c r="H17" i="18"/>
  <c r="L8" i="18"/>
  <c r="G16" i="17"/>
  <c r="G20" i="17"/>
  <c r="G19" i="17"/>
  <c r="G15" i="17"/>
  <c r="G18" i="17"/>
  <c r="G17" i="17"/>
  <c r="E16" i="17"/>
  <c r="E15" i="17"/>
  <c r="L14" i="17" s="1"/>
  <c r="E20" i="17"/>
  <c r="E19" i="17"/>
  <c r="E17" i="17"/>
  <c r="E18" i="17"/>
  <c r="F17" i="17"/>
  <c r="F20" i="17"/>
  <c r="F16" i="17"/>
  <c r="F19" i="17"/>
  <c r="F15" i="17"/>
  <c r="F18" i="17"/>
  <c r="L10" i="17"/>
  <c r="F20" i="18" l="1"/>
  <c r="L20" i="18" s="1"/>
  <c r="F16" i="18"/>
  <c r="L16" i="18" s="1"/>
  <c r="F19" i="18"/>
  <c r="L19" i="18" s="1"/>
  <c r="F15" i="18"/>
  <c r="L15" i="18" s="1"/>
  <c r="F18" i="18"/>
  <c r="L18" i="18" s="1"/>
  <c r="F17" i="18"/>
  <c r="L17" i="18" s="1"/>
  <c r="L21" i="18"/>
  <c r="L16" i="17"/>
  <c r="L15" i="17"/>
  <c r="H16" i="17"/>
  <c r="L18" i="17" s="1"/>
  <c r="H20" i="17"/>
  <c r="L22" i="17" s="1"/>
  <c r="H15" i="17"/>
  <c r="L17" i="17" s="1"/>
  <c r="H19" i="17"/>
  <c r="H18" i="17"/>
  <c r="L20" i="17" s="1"/>
  <c r="H17" i="17"/>
  <c r="L19" i="17" s="1"/>
  <c r="L21" i="17"/>
</calcChain>
</file>

<file path=xl/sharedStrings.xml><?xml version="1.0" encoding="utf-8"?>
<sst xmlns="http://schemas.openxmlformats.org/spreadsheetml/2006/main" count="116" uniqueCount="37">
  <si>
    <t>MID</t>
  </si>
  <si>
    <t>combination of two MTHF</t>
  </si>
  <si>
    <t>hypothetical isotopologues of two MTHF</t>
  </si>
  <si>
    <t>combination of two MTHF with glycine</t>
  </si>
  <si>
    <t>2MTHF M+0</t>
  </si>
  <si>
    <t>2MTHF M+1</t>
  </si>
  <si>
    <t>2MTHF M+2</t>
  </si>
  <si>
    <t>MTHF M+0</t>
  </si>
  <si>
    <t>MTHF M+1</t>
  </si>
  <si>
    <t>hypothetical isotoplogues of combined 2MTHF+GLY</t>
  </si>
  <si>
    <t>2MTHF+GLY M+0</t>
  </si>
  <si>
    <t>2MTHF+GLY M+1</t>
  </si>
  <si>
    <t>2MTHF+GLY M+2</t>
  </si>
  <si>
    <t>2MTHF+GLY M+3</t>
  </si>
  <si>
    <t>2MTHF+GLY M+4</t>
  </si>
  <si>
    <t>combination of two MTHF with glycine and R5P</t>
  </si>
  <si>
    <t>R5P M+0</t>
  </si>
  <si>
    <t>R5P M+1</t>
  </si>
  <si>
    <t>R5P M+3</t>
  </si>
  <si>
    <t>R5P M+5</t>
  </si>
  <si>
    <t>R5P M+2</t>
  </si>
  <si>
    <t>R5P M+4</t>
  </si>
  <si>
    <t>GLY M+0</t>
  </si>
  <si>
    <t>GLY M+1</t>
  </si>
  <si>
    <t>GLY M+2</t>
  </si>
  <si>
    <t>hypothetical isotoplogues of combined 2MTHF+GLY+R5P</t>
  </si>
  <si>
    <t>2MTHF+GLY+R5P M+0</t>
  </si>
  <si>
    <t>2MTHF+GLY+R5P M+1</t>
  </si>
  <si>
    <t>2MTHF+GLY+R5P M+2</t>
  </si>
  <si>
    <t>2MTHF+GLY+R5P M+3</t>
  </si>
  <si>
    <t>2MTHF+GLY+R5P M+4</t>
  </si>
  <si>
    <t>2MTHF+GLY+R5P M+5</t>
  </si>
  <si>
    <t>2MTHF+GLY+R5P M+6</t>
  </si>
  <si>
    <t>2MTHF+GLY+R5P M+7</t>
  </si>
  <si>
    <t>2MTHF+GLY+R5P M+8</t>
  </si>
  <si>
    <t>2MTHF+GLY+R5P M+9</t>
  </si>
  <si>
    <t>mean of technical replicates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</si>
</sst>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C3525-7923-4671-9CCA-2B879C5031D7}">
  <dimension ref="A1:L23"/>
  <sheetViews>
    <sheetView tabSelected="1" workbookViewId="0">
      <selection activeCell="H30" sqref="H30"/>
    </sheetView>
  </sheetViews>
  <sheetFormatPr defaultRowHeight="15" x14ac:dyDescent="0.25"/>
  <cols>
    <col min="1" max="1" width="9.85546875" bestFit="1" customWidth="1"/>
    <col min="2" max="2" width="26.42578125" bestFit="1" customWidth="1"/>
    <col min="4" max="4" width="10.140625" customWidth="1"/>
    <col min="5" max="9" width="15.140625" bestFit="1" customWidth="1"/>
    <col min="10" max="10" width="12.140625" customWidth="1"/>
    <col min="11" max="11" width="19.140625" customWidth="1"/>
    <col min="12" max="12" width="14.85546875" customWidth="1"/>
    <col min="13" max="19" width="19.5703125" bestFit="1" customWidth="1"/>
  </cols>
  <sheetData>
    <row r="1" spans="1:12" x14ac:dyDescent="0.25">
      <c r="A1" t="s">
        <v>0</v>
      </c>
      <c r="B1" t="s">
        <v>36</v>
      </c>
      <c r="D1" t="s">
        <v>1</v>
      </c>
      <c r="K1" t="s">
        <v>2</v>
      </c>
    </row>
    <row r="2" spans="1:12" x14ac:dyDescent="0.25">
      <c r="A2" t="s">
        <v>22</v>
      </c>
      <c r="B2">
        <v>86.943272335771454</v>
      </c>
      <c r="E2" t="s">
        <v>7</v>
      </c>
      <c r="F2" t="s">
        <v>8</v>
      </c>
      <c r="K2" t="s">
        <v>4</v>
      </c>
      <c r="L2">
        <f>E3</f>
        <v>67.693417836442961</v>
      </c>
    </row>
    <row r="3" spans="1:12" x14ac:dyDescent="0.25">
      <c r="A3" t="s">
        <v>23</v>
      </c>
      <c r="B3">
        <v>3.8917071532643752</v>
      </c>
      <c r="D3" t="s">
        <v>7</v>
      </c>
      <c r="E3">
        <f>B5*B5/100</f>
        <v>67.693417836442961</v>
      </c>
      <c r="F3">
        <f>B5*B6/100</f>
        <v>14.539908324954412</v>
      </c>
      <c r="K3" t="s">
        <v>5</v>
      </c>
      <c r="L3">
        <f>F3+E4</f>
        <v>29.079816649908825</v>
      </c>
    </row>
    <row r="4" spans="1:12" x14ac:dyDescent="0.25">
      <c r="A4" t="s">
        <v>24</v>
      </c>
      <c r="B4">
        <v>9.1650205109641956</v>
      </c>
      <c r="D4" t="s">
        <v>8</v>
      </c>
      <c r="E4">
        <f>B6*B5/100</f>
        <v>14.539908324954412</v>
      </c>
      <c r="F4">
        <f>B6*B6/100</f>
        <v>3.1230353091178387</v>
      </c>
      <c r="K4" t="s">
        <v>6</v>
      </c>
      <c r="L4">
        <f>F4</f>
        <v>3.1230353091178387</v>
      </c>
    </row>
    <row r="5" spans="1:12" x14ac:dyDescent="0.25">
      <c r="A5" t="s">
        <v>7</v>
      </c>
      <c r="B5">
        <v>82.276009769824739</v>
      </c>
    </row>
    <row r="6" spans="1:12" x14ac:dyDescent="0.25">
      <c r="A6" t="s">
        <v>8</v>
      </c>
      <c r="B6">
        <v>17.672111670985554</v>
      </c>
      <c r="D6" t="s">
        <v>3</v>
      </c>
      <c r="K6" t="s">
        <v>9</v>
      </c>
    </row>
    <row r="7" spans="1:12" x14ac:dyDescent="0.25">
      <c r="A7" t="s">
        <v>16</v>
      </c>
      <c r="B7">
        <v>73.720564883561096</v>
      </c>
      <c r="E7" t="s">
        <v>4</v>
      </c>
      <c r="F7" t="s">
        <v>5</v>
      </c>
      <c r="G7" t="s">
        <v>6</v>
      </c>
      <c r="K7" t="s">
        <v>10</v>
      </c>
      <c r="L7">
        <f>E8</f>
        <v>58.854872622930287</v>
      </c>
    </row>
    <row r="8" spans="1:12" x14ac:dyDescent="0.25">
      <c r="A8" t="s">
        <v>17</v>
      </c>
      <c r="B8">
        <v>4.3608472291483062</v>
      </c>
      <c r="D8" t="s">
        <v>22</v>
      </c>
      <c r="E8">
        <f>B2*L2/100</f>
        <v>58.854872622930287</v>
      </c>
      <c r="F8">
        <f>B2*L3/100</f>
        <v>25.282944184673241</v>
      </c>
      <c r="G8">
        <f>B2*L4/100</f>
        <v>2.7152690939486246</v>
      </c>
      <c r="K8" t="s">
        <v>11</v>
      </c>
      <c r="L8">
        <f>F8+E9</f>
        <v>27.917373768903232</v>
      </c>
    </row>
    <row r="9" spans="1:12" x14ac:dyDescent="0.25">
      <c r="A9" t="s">
        <v>20</v>
      </c>
      <c r="B9">
        <v>7.1179063216449308</v>
      </c>
      <c r="D9" t="s">
        <v>23</v>
      </c>
      <c r="E9">
        <f>B3*L2/100</f>
        <v>2.6344295842299932</v>
      </c>
      <c r="F9">
        <f>B3*L3/100</f>
        <v>1.1317013047206665</v>
      </c>
      <c r="G9">
        <f>B3*L4/100</f>
        <v>0.12153938852391112</v>
      </c>
      <c r="K9" t="s">
        <v>12</v>
      </c>
      <c r="L9">
        <f>G8+F9+E10</f>
        <v>10.051086027951985</v>
      </c>
    </row>
    <row r="10" spans="1:12" x14ac:dyDescent="0.25">
      <c r="A10" t="s">
        <v>18</v>
      </c>
      <c r="B10">
        <v>7.1661226510118983</v>
      </c>
      <c r="D10" t="s">
        <v>24</v>
      </c>
      <c r="E10">
        <f>B4*L2/100</f>
        <v>6.2041156292826933</v>
      </c>
      <c r="F10">
        <f>B4*L3/100</f>
        <v>2.6651711605149249</v>
      </c>
      <c r="G10">
        <f>B4*L4/100</f>
        <v>0.28622682664530397</v>
      </c>
      <c r="K10" t="s">
        <v>13</v>
      </c>
      <c r="L10">
        <f>G9+F10</f>
        <v>2.786710549038836</v>
      </c>
    </row>
    <row r="11" spans="1:12" x14ac:dyDescent="0.25">
      <c r="A11" t="s">
        <v>21</v>
      </c>
      <c r="B11">
        <v>2.3047781645954375</v>
      </c>
      <c r="K11" t="s">
        <v>14</v>
      </c>
      <c r="L11">
        <f>G10</f>
        <v>0.28622682664530397</v>
      </c>
    </row>
    <row r="12" spans="1:12" x14ac:dyDescent="0.25">
      <c r="A12" t="s">
        <v>19</v>
      </c>
      <c r="B12">
        <v>5.3297807500383181</v>
      </c>
    </row>
    <row r="13" spans="1:12" x14ac:dyDescent="0.25">
      <c r="D13" t="s">
        <v>15</v>
      </c>
      <c r="K13" t="s">
        <v>25</v>
      </c>
    </row>
    <row r="14" spans="1:12" x14ac:dyDescent="0.25">
      <c r="E14" t="s">
        <v>10</v>
      </c>
      <c r="F14" t="s">
        <v>11</v>
      </c>
      <c r="G14" t="s">
        <v>12</v>
      </c>
      <c r="H14" t="s">
        <v>13</v>
      </c>
      <c r="I14" t="s">
        <v>14</v>
      </c>
      <c r="K14" t="s">
        <v>26</v>
      </c>
      <c r="L14">
        <f>E15</f>
        <v>43.388144559124555</v>
      </c>
    </row>
    <row r="15" spans="1:12" x14ac:dyDescent="0.25">
      <c r="D15" t="s">
        <v>16</v>
      </c>
      <c r="E15">
        <f>B7*L7/100</f>
        <v>43.388144559124555</v>
      </c>
      <c r="F15">
        <f>B7*L8/100</f>
        <v>20.580845643090573</v>
      </c>
      <c r="G15">
        <f>B7*L9/100</f>
        <v>7.4097173967388867</v>
      </c>
      <c r="H15">
        <f>B7*L10/100</f>
        <v>2.0543787584212168</v>
      </c>
      <c r="I15">
        <f>B7*L11/100</f>
        <v>0.21100803345120928</v>
      </c>
      <c r="K15" t="s">
        <v>27</v>
      </c>
      <c r="L15">
        <f>E16+F15</f>
        <v>23.147416725086394</v>
      </c>
    </row>
    <row r="16" spans="1:12" x14ac:dyDescent="0.25">
      <c r="D16" t="s">
        <v>17</v>
      </c>
      <c r="E16">
        <f>B8*L7/100</f>
        <v>2.5665710819958205</v>
      </c>
      <c r="F16">
        <f>B8*L8/100</f>
        <v>1.2174340204521927</v>
      </c>
      <c r="G16">
        <f>B8*L9/100</f>
        <v>0.43831250654925669</v>
      </c>
      <c r="H16">
        <f>B8*L10/100</f>
        <v>0.12152418976214363</v>
      </c>
      <c r="I16">
        <f>B8*L11/100</f>
        <v>1.2481914638840862E-2</v>
      </c>
      <c r="K16" t="s">
        <v>28</v>
      </c>
      <c r="L16">
        <f>E17+F16+G15</f>
        <v>12.816386116214705</v>
      </c>
    </row>
    <row r="17" spans="4:12" x14ac:dyDescent="0.25">
      <c r="D17" t="s">
        <v>20</v>
      </c>
      <c r="E17">
        <f>B9*L7/100</f>
        <v>4.1892346990236264</v>
      </c>
      <c r="F17">
        <f>B9*L8/100</f>
        <v>1.9871325123340069</v>
      </c>
      <c r="G17">
        <f>B9*L9/100</f>
        <v>0.71542688777756469</v>
      </c>
      <c r="H17">
        <f>B9*L10/100</f>
        <v>0.19835544633598146</v>
      </c>
      <c r="I17">
        <f>B9*L11/100</f>
        <v>2.0373357388029766E-2</v>
      </c>
      <c r="K17" t="s">
        <v>29</v>
      </c>
      <c r="L17">
        <f>E18+F17+G16+H15</f>
        <v>8.6974361355604888</v>
      </c>
    </row>
    <row r="18" spans="4:12" x14ac:dyDescent="0.25">
      <c r="D18" t="s">
        <v>18</v>
      </c>
      <c r="E18">
        <f>B10*L7/100</f>
        <v>4.2176123582560079</v>
      </c>
      <c r="F18">
        <f>B10*L8/100</f>
        <v>2.0005932452210287</v>
      </c>
      <c r="G18">
        <f>B10*L9/100</f>
        <v>0.72027315252175939</v>
      </c>
      <c r="H18">
        <f>B10*L10/100</f>
        <v>0.19969909587281007</v>
      </c>
      <c r="I18">
        <f>B10*L11/100</f>
        <v>2.0511365457501686E-2</v>
      </c>
      <c r="K18" t="s">
        <v>30</v>
      </c>
      <c r="L18">
        <f>E19+F18+G17+H16+I15</f>
        <v>4.4050266092257013</v>
      </c>
    </row>
    <row r="19" spans="4:12" x14ac:dyDescent="0.25">
      <c r="D19" t="s">
        <v>21</v>
      </c>
      <c r="E19">
        <f>B11*L7/100</f>
        <v>1.3564742530137552</v>
      </c>
      <c r="F19">
        <f>B11*L8/100</f>
        <v>0.64343353475417597</v>
      </c>
      <c r="G19">
        <f>B11*L9/100</f>
        <v>0.23165523607694025</v>
      </c>
      <c r="H19">
        <f>B11*L10/100</f>
        <v>6.4227496244724722E-2</v>
      </c>
      <c r="I19">
        <f>B11*L11/100</f>
        <v>6.5968934017354023E-3</v>
      </c>
      <c r="K19" t="s">
        <v>31</v>
      </c>
      <c r="L19">
        <f>E20+F19+G18+H17+I16</f>
        <v>4.7113797197672689</v>
      </c>
    </row>
    <row r="20" spans="4:12" x14ac:dyDescent="0.25">
      <c r="D20" t="s">
        <v>19</v>
      </c>
      <c r="E20">
        <f>B12*L7/100</f>
        <v>3.1368356715165104</v>
      </c>
      <c r="F20">
        <f>B12*L8/100</f>
        <v>1.4879348130512513</v>
      </c>
      <c r="G20">
        <f>B12*L9/100</f>
        <v>0.53570084828757591</v>
      </c>
      <c r="H20">
        <f>B12*L10/100</f>
        <v>0.14852556240195899</v>
      </c>
      <c r="I20">
        <f>B12*L11/100</f>
        <v>1.5255262307986959E-2</v>
      </c>
      <c r="K20" t="s">
        <v>32</v>
      </c>
      <c r="L20">
        <f>F20+G19+H18+I17</f>
        <v>1.9396625023890313</v>
      </c>
    </row>
    <row r="21" spans="4:12" x14ac:dyDescent="0.25">
      <c r="K21" t="s">
        <v>33</v>
      </c>
      <c r="L21">
        <f>G20+H19+I18</f>
        <v>0.62043970998980225</v>
      </c>
    </row>
    <row r="22" spans="4:12" x14ac:dyDescent="0.25">
      <c r="K22" t="s">
        <v>34</v>
      </c>
      <c r="L22">
        <f>H20+I19</f>
        <v>0.15512245580369441</v>
      </c>
    </row>
    <row r="23" spans="4:12" x14ac:dyDescent="0.25">
      <c r="K23" t="s">
        <v>35</v>
      </c>
      <c r="L23">
        <f>I20</f>
        <v>1.5255262307986959E-2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713CB-AE5F-4AA3-892E-F9F13ABCE8A6}">
  <dimension ref="A1:L23"/>
  <sheetViews>
    <sheetView topLeftCell="C1" workbookViewId="0">
      <selection activeCell="J33" sqref="J33"/>
    </sheetView>
  </sheetViews>
  <sheetFormatPr defaultRowHeight="15" x14ac:dyDescent="0.25"/>
  <cols>
    <col min="1" max="1" width="9.85546875" bestFit="1" customWidth="1"/>
    <col min="2" max="2" width="26.42578125" bestFit="1" customWidth="1"/>
    <col min="4" max="4" width="10.140625" customWidth="1"/>
    <col min="5" max="9" width="15.140625" bestFit="1" customWidth="1"/>
    <col min="10" max="10" width="12.140625" customWidth="1"/>
    <col min="11" max="11" width="19.140625" customWidth="1"/>
    <col min="12" max="12" width="14.85546875" customWidth="1"/>
    <col min="13" max="19" width="19.5703125" bestFit="1" customWidth="1"/>
  </cols>
  <sheetData>
    <row r="1" spans="1:12" x14ac:dyDescent="0.25">
      <c r="A1" t="s">
        <v>0</v>
      </c>
      <c r="B1" t="s">
        <v>36</v>
      </c>
      <c r="D1" t="s">
        <v>1</v>
      </c>
      <c r="K1" t="s">
        <v>2</v>
      </c>
    </row>
    <row r="2" spans="1:12" x14ac:dyDescent="0.25">
      <c r="A2" t="s">
        <v>22</v>
      </c>
      <c r="B2">
        <v>85.311428571428564</v>
      </c>
      <c r="E2" t="s">
        <v>7</v>
      </c>
      <c r="F2" t="s">
        <v>8</v>
      </c>
      <c r="K2" t="s">
        <v>4</v>
      </c>
      <c r="L2">
        <f>E3</f>
        <v>61.375617625928754</v>
      </c>
    </row>
    <row r="3" spans="1:12" x14ac:dyDescent="0.25">
      <c r="A3" t="s">
        <v>23</v>
      </c>
      <c r="B3">
        <v>8.2200000000000006</v>
      </c>
      <c r="D3" t="s">
        <v>7</v>
      </c>
      <c r="E3">
        <f>B5*B5/100</f>
        <v>61.375617625928754</v>
      </c>
      <c r="F3">
        <f>B5*B6/100</f>
        <v>17.087848328358167</v>
      </c>
      <c r="K3" t="s">
        <v>5</v>
      </c>
      <c r="L3">
        <f>F3+E4</f>
        <v>34.175696656716333</v>
      </c>
    </row>
    <row r="4" spans="1:12" x14ac:dyDescent="0.25">
      <c r="A4" t="s">
        <v>24</v>
      </c>
      <c r="B4">
        <v>6.4671428571428562</v>
      </c>
      <c r="D4" t="s">
        <v>8</v>
      </c>
      <c r="E4">
        <f>B6*B5/100</f>
        <v>17.087848328358167</v>
      </c>
      <c r="F4">
        <f>B6*B6/100</f>
        <v>4.7575009716825543</v>
      </c>
      <c r="K4" t="s">
        <v>6</v>
      </c>
      <c r="L4">
        <f>F4</f>
        <v>4.7575009716825543</v>
      </c>
    </row>
    <row r="5" spans="1:12" x14ac:dyDescent="0.25">
      <c r="A5" t="s">
        <v>7</v>
      </c>
      <c r="B5">
        <v>78.342592263677844</v>
      </c>
    </row>
    <row r="6" spans="1:12" x14ac:dyDescent="0.25">
      <c r="A6" t="s">
        <v>8</v>
      </c>
      <c r="B6">
        <v>21.811696338621978</v>
      </c>
      <c r="D6" t="s">
        <v>3</v>
      </c>
      <c r="K6" t="s">
        <v>9</v>
      </c>
    </row>
    <row r="7" spans="1:12" x14ac:dyDescent="0.25">
      <c r="A7" t="s">
        <v>16</v>
      </c>
      <c r="B7">
        <v>67.848333333333343</v>
      </c>
      <c r="E7" t="s">
        <v>4</v>
      </c>
      <c r="F7" t="s">
        <v>5</v>
      </c>
      <c r="G7" t="s">
        <v>6</v>
      </c>
      <c r="K7" t="s">
        <v>10</v>
      </c>
      <c r="L7">
        <f>E8</f>
        <v>52.360416191217325</v>
      </c>
    </row>
    <row r="8" spans="1:12" x14ac:dyDescent="0.25">
      <c r="A8" t="s">
        <v>17</v>
      </c>
      <c r="B8">
        <v>3.9350000000000005</v>
      </c>
      <c r="D8" t="s">
        <v>22</v>
      </c>
      <c r="E8">
        <f>B2*L2/100</f>
        <v>52.360416191217325</v>
      </c>
      <c r="F8">
        <f>B2*L3/100</f>
        <v>29.155775042082656</v>
      </c>
      <c r="G8">
        <f>B2*L4/100</f>
        <v>4.0586920432419822</v>
      </c>
      <c r="K8" t="s">
        <v>11</v>
      </c>
      <c r="L8">
        <f>F8+E9</f>
        <v>34.200850810934</v>
      </c>
    </row>
    <row r="9" spans="1:12" x14ac:dyDescent="0.25">
      <c r="A9" t="s">
        <v>20</v>
      </c>
      <c r="B9">
        <v>9.5383333333333322</v>
      </c>
      <c r="D9" t="s">
        <v>23</v>
      </c>
      <c r="E9">
        <f>B3*L2/100</f>
        <v>5.0450757688513441</v>
      </c>
      <c r="F9">
        <f>B3*L3/100</f>
        <v>2.8092422651820828</v>
      </c>
      <c r="G9">
        <f>B3*L4/100</f>
        <v>0.39106657987230597</v>
      </c>
      <c r="K9" t="s">
        <v>12</v>
      </c>
      <c r="L9">
        <f>G8+F9+E10</f>
        <v>10.837183179746628</v>
      </c>
    </row>
    <row r="10" spans="1:12" x14ac:dyDescent="0.25">
      <c r="A10" t="s">
        <v>18</v>
      </c>
      <c r="B10">
        <v>11.126666666666667</v>
      </c>
      <c r="D10" t="s">
        <v>24</v>
      </c>
      <c r="E10">
        <f>B4*L2/100</f>
        <v>3.9692488713225633</v>
      </c>
      <c r="F10">
        <f>B4*L3/100</f>
        <v>2.2101911252136404</v>
      </c>
      <c r="G10">
        <f>B4*L4/100</f>
        <v>0.30767438426867028</v>
      </c>
      <c r="K10" t="s">
        <v>13</v>
      </c>
      <c r="L10">
        <f>G9+F10</f>
        <v>2.6012577050859464</v>
      </c>
    </row>
    <row r="11" spans="1:12" x14ac:dyDescent="0.25">
      <c r="A11" t="s">
        <v>21</v>
      </c>
      <c r="B11">
        <v>2.3266666666666667</v>
      </c>
      <c r="K11" t="s">
        <v>14</v>
      </c>
      <c r="L11">
        <f>G10</f>
        <v>0.30767438426867028</v>
      </c>
    </row>
    <row r="12" spans="1:12" x14ac:dyDescent="0.25">
      <c r="A12" t="s">
        <v>19</v>
      </c>
      <c r="B12">
        <v>5.2216666666666667</v>
      </c>
    </row>
    <row r="13" spans="1:12" x14ac:dyDescent="0.25">
      <c r="D13" t="s">
        <v>15</v>
      </c>
      <c r="K13" t="s">
        <v>25</v>
      </c>
    </row>
    <row r="14" spans="1:12" x14ac:dyDescent="0.25">
      <c r="E14" t="s">
        <v>10</v>
      </c>
      <c r="F14" t="s">
        <v>11</v>
      </c>
      <c r="G14" t="s">
        <v>12</v>
      </c>
      <c r="H14" t="s">
        <v>13</v>
      </c>
      <c r="I14" t="s">
        <v>14</v>
      </c>
      <c r="K14" t="s">
        <v>26</v>
      </c>
      <c r="L14">
        <f>E15</f>
        <v>35.525669712137777</v>
      </c>
    </row>
    <row r="15" spans="1:12" x14ac:dyDescent="0.25">
      <c r="D15" t="s">
        <v>16</v>
      </c>
      <c r="E15">
        <f>B7*L7/100</f>
        <v>35.525669712137777</v>
      </c>
      <c r="F15">
        <f>B7*L8/100</f>
        <v>23.204707261038539</v>
      </c>
      <c r="G15">
        <f>B7*L9/100</f>
        <v>7.3528481677384256</v>
      </c>
      <c r="H15">
        <f>B7*L10/100</f>
        <v>1.7649099986057302</v>
      </c>
      <c r="I15">
        <f>B7*L11/100</f>
        <v>0.20875194181988835</v>
      </c>
      <c r="K15" t="s">
        <v>27</v>
      </c>
      <c r="L15">
        <f>E16+F15</f>
        <v>25.265089638162941</v>
      </c>
    </row>
    <row r="16" spans="1:12" x14ac:dyDescent="0.25">
      <c r="D16" t="s">
        <v>17</v>
      </c>
      <c r="E16">
        <f>B8*L7/100</f>
        <v>2.0603823771244021</v>
      </c>
      <c r="F16">
        <f>B8*L8/100</f>
        <v>1.3458034794102531</v>
      </c>
      <c r="G16">
        <f>B8*L9/100</f>
        <v>0.42644315812302985</v>
      </c>
      <c r="H16">
        <f>B8*L10/100</f>
        <v>0.102359490695132</v>
      </c>
      <c r="I16">
        <f>B8*L11/100</f>
        <v>1.2106987020972177E-2</v>
      </c>
      <c r="K16" t="s">
        <v>28</v>
      </c>
      <c r="L16">
        <f>E17+F16+G15</f>
        <v>13.692962678187623</v>
      </c>
    </row>
    <row r="17" spans="4:12" x14ac:dyDescent="0.25">
      <c r="D17" t="s">
        <v>20</v>
      </c>
      <c r="E17">
        <f>B9*L7/100</f>
        <v>4.9943110310389454</v>
      </c>
      <c r="F17">
        <f>B9*L8/100</f>
        <v>3.2621911531829211</v>
      </c>
      <c r="G17">
        <f>B9*L9/100</f>
        <v>1.0336866556281656</v>
      </c>
      <c r="H17">
        <f>B9*L10/100</f>
        <v>0.24811663077011448</v>
      </c>
      <c r="I17">
        <f>B9*L11/100</f>
        <v>2.9347008352826665E-2</v>
      </c>
      <c r="K17" t="s">
        <v>29</v>
      </c>
      <c r="L17">
        <f>E18+F17+G16+H15</f>
        <v>11.279513284787798</v>
      </c>
    </row>
    <row r="18" spans="4:12" x14ac:dyDescent="0.25">
      <c r="D18" t="s">
        <v>18</v>
      </c>
      <c r="E18">
        <f>B10*L7/100</f>
        <v>5.8259689748761154</v>
      </c>
      <c r="F18">
        <f>B10*L8/100</f>
        <v>3.8054146668965898</v>
      </c>
      <c r="G18">
        <f>B10*L9/100</f>
        <v>1.2058172484664746</v>
      </c>
      <c r="H18">
        <f>B10*L10/100</f>
        <v>0.2894332739858963</v>
      </c>
      <c r="I18">
        <f>B10*L11/100</f>
        <v>3.423390315629405E-2</v>
      </c>
      <c r="K18" t="s">
        <v>30</v>
      </c>
      <c r="L18">
        <f>E19+F18+G17+H16+I15</f>
        <v>6.3684651050887657</v>
      </c>
    </row>
    <row r="19" spans="4:12" x14ac:dyDescent="0.25">
      <c r="D19" t="s">
        <v>21</v>
      </c>
      <c r="E19">
        <f>B11*L7/100</f>
        <v>1.2182523500489897</v>
      </c>
      <c r="F19">
        <f>B11*L8/100</f>
        <v>0.79573979553439766</v>
      </c>
      <c r="G19">
        <f>B11*L9/100</f>
        <v>0.25214512864877153</v>
      </c>
      <c r="H19">
        <f>B11*L10/100</f>
        <v>6.0522595938333021E-2</v>
      </c>
      <c r="I19">
        <f>B11*L11/100</f>
        <v>7.1585573406510615E-3</v>
      </c>
      <c r="K19" t="s">
        <v>31</v>
      </c>
      <c r="L19">
        <f>E20+F19+G18+H17+I16</f>
        <v>4.9958670605766899</v>
      </c>
    </row>
    <row r="20" spans="4:12" x14ac:dyDescent="0.25">
      <c r="D20" t="s">
        <v>19</v>
      </c>
      <c r="E20">
        <f>B12*L7/100</f>
        <v>2.7340863987847315</v>
      </c>
      <c r="F20">
        <f>B12*L8/100</f>
        <v>1.7858544265109371</v>
      </c>
      <c r="G20">
        <f>B12*L9/100</f>
        <v>0.56588158170243641</v>
      </c>
      <c r="H20">
        <f>B12*L10/100</f>
        <v>0.13582900650057117</v>
      </c>
      <c r="I20">
        <f>B12*L11/100</f>
        <v>1.6065730765229068E-2</v>
      </c>
      <c r="K20" t="s">
        <v>32</v>
      </c>
      <c r="L20">
        <f>F20+G19+H18+I17</f>
        <v>2.3567798374984319</v>
      </c>
    </row>
    <row r="21" spans="4:12" x14ac:dyDescent="0.25">
      <c r="K21" t="s">
        <v>33</v>
      </c>
      <c r="L21">
        <f>G20+H19+I18</f>
        <v>0.66063808079706343</v>
      </c>
    </row>
    <row r="22" spans="4:12" x14ac:dyDescent="0.25">
      <c r="K22" t="s">
        <v>34</v>
      </c>
      <c r="L22">
        <f>H20+I19</f>
        <v>0.14298756384122224</v>
      </c>
    </row>
    <row r="23" spans="4:12" x14ac:dyDescent="0.25">
      <c r="K23" t="s">
        <v>35</v>
      </c>
      <c r="L23">
        <f>I20</f>
        <v>1.6065730765229068E-2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TRP</vt:lpstr>
      <vt:lpstr>GBM38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Meghdadi, Baharan</cp:lastModifiedBy>
  <dcterms:created xsi:type="dcterms:W3CDTF">2024-03-04T20:48:39Z</dcterms:created>
  <dcterms:modified xsi:type="dcterms:W3CDTF">2025-10-08T23:56:55Z</dcterms:modified>
</cp:coreProperties>
</file>