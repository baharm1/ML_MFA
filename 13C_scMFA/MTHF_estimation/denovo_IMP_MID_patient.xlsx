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haran\University of Michigan Dropbox\Baharan Meghdadi\Baharan-Deepak\ML_manuscript\codes\13C_scMFA\patient_input_purine\MTHF_estimation\"/>
    </mc:Choice>
  </mc:AlternateContent>
  <xr:revisionPtr revIDLastSave="0" documentId="13_ncr:1_{1CD28AF7-E8B9-4A59-873A-2DC0BE987A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1E" sheetId="1" r:id="rId1"/>
    <sheet name="P1N" sheetId="2" r:id="rId2"/>
    <sheet name="P2E" sheetId="3" r:id="rId3"/>
    <sheet name="P4E" sheetId="4" r:id="rId4"/>
    <sheet name="P4N" sheetId="16" r:id="rId5"/>
    <sheet name="P6E" sheetId="15" r:id="rId6"/>
    <sheet name="P6N" sheetId="14" r:id="rId7"/>
    <sheet name="P7E" sheetId="13" r:id="rId8"/>
    <sheet name="P7N" sheetId="12" r:id="rId9"/>
    <sheet name="P8N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L4" i="1" s="1"/>
  <c r="E4" i="1"/>
  <c r="F3" i="1"/>
  <c r="L3" i="1" s="1"/>
  <c r="E3" i="1"/>
  <c r="L2" i="1" s="1"/>
  <c r="F4" i="2"/>
  <c r="L4" i="2" s="1"/>
  <c r="E4" i="2"/>
  <c r="F3" i="2"/>
  <c r="L3" i="2" s="1"/>
  <c r="E3" i="2"/>
  <c r="L2" i="2" s="1"/>
  <c r="F4" i="3"/>
  <c r="L4" i="3" s="1"/>
  <c r="E4" i="3"/>
  <c r="F3" i="3"/>
  <c r="L3" i="3" s="1"/>
  <c r="E3" i="3"/>
  <c r="L2" i="3" s="1"/>
  <c r="F4" i="4"/>
  <c r="L4" i="4" s="1"/>
  <c r="E4" i="4"/>
  <c r="F3" i="4"/>
  <c r="L3" i="4" s="1"/>
  <c r="E3" i="4"/>
  <c r="L2" i="4" s="1"/>
  <c r="F4" i="16"/>
  <c r="L4" i="16" s="1"/>
  <c r="E4" i="16"/>
  <c r="F3" i="16"/>
  <c r="L3" i="16" s="1"/>
  <c r="E3" i="16"/>
  <c r="L2" i="16" s="1"/>
  <c r="F4" i="15"/>
  <c r="L4" i="15" s="1"/>
  <c r="E4" i="15"/>
  <c r="F3" i="15"/>
  <c r="L3" i="15" s="1"/>
  <c r="E3" i="15"/>
  <c r="L2" i="15" s="1"/>
  <c r="F4" i="14"/>
  <c r="L4" i="14" s="1"/>
  <c r="E4" i="14"/>
  <c r="F3" i="14"/>
  <c r="L3" i="14" s="1"/>
  <c r="E3" i="14"/>
  <c r="L2" i="14" s="1"/>
  <c r="F4" i="13"/>
  <c r="L4" i="13" s="1"/>
  <c r="E4" i="13"/>
  <c r="F3" i="13"/>
  <c r="L3" i="13" s="1"/>
  <c r="E3" i="13"/>
  <c r="L2" i="13" s="1"/>
  <c r="F4" i="12"/>
  <c r="L4" i="12" s="1"/>
  <c r="E4" i="12"/>
  <c r="F3" i="12"/>
  <c r="L3" i="12" s="1"/>
  <c r="E3" i="12"/>
  <c r="L2" i="12" s="1"/>
  <c r="F4" i="11"/>
  <c r="L4" i="11" s="1"/>
  <c r="E4" i="11"/>
  <c r="F3" i="11"/>
  <c r="E3" i="11"/>
  <c r="L2" i="11" s="1"/>
  <c r="E10" i="1" l="1"/>
  <c r="E8" i="1"/>
  <c r="L7" i="1" s="1"/>
  <c r="E9" i="1"/>
  <c r="F8" i="1"/>
  <c r="L8" i="1" s="1"/>
  <c r="F10" i="1"/>
  <c r="F9" i="1"/>
  <c r="G10" i="1"/>
  <c r="L11" i="1" s="1"/>
  <c r="G9" i="1"/>
  <c r="G8" i="1"/>
  <c r="L9" i="1" s="1"/>
  <c r="F10" i="2"/>
  <c r="F9" i="2"/>
  <c r="F8" i="2"/>
  <c r="E10" i="2"/>
  <c r="E9" i="2"/>
  <c r="E8" i="2"/>
  <c r="L7" i="2" s="1"/>
  <c r="G9" i="2"/>
  <c r="L10" i="2" s="1"/>
  <c r="G8" i="2"/>
  <c r="L9" i="2" s="1"/>
  <c r="G10" i="2"/>
  <c r="L11" i="2" s="1"/>
  <c r="E10" i="3"/>
  <c r="E8" i="3"/>
  <c r="L7" i="3" s="1"/>
  <c r="E9" i="3"/>
  <c r="F10" i="3"/>
  <c r="F9" i="3"/>
  <c r="F8" i="3"/>
  <c r="L8" i="3" s="1"/>
  <c r="G10" i="3"/>
  <c r="L11" i="3" s="1"/>
  <c r="G8" i="3"/>
  <c r="L9" i="3" s="1"/>
  <c r="G9" i="3"/>
  <c r="E10" i="4"/>
  <c r="E9" i="4"/>
  <c r="E8" i="4"/>
  <c r="L7" i="4" s="1"/>
  <c r="F10" i="4"/>
  <c r="F9" i="4"/>
  <c r="F8" i="4"/>
  <c r="L8" i="4" s="1"/>
  <c r="G10" i="4"/>
  <c r="L11" i="4" s="1"/>
  <c r="G9" i="4"/>
  <c r="L10" i="4" s="1"/>
  <c r="G8" i="4"/>
  <c r="L9" i="4" s="1"/>
  <c r="E10" i="16"/>
  <c r="E9" i="16"/>
  <c r="E8" i="16"/>
  <c r="L7" i="16" s="1"/>
  <c r="F10" i="16"/>
  <c r="F9" i="16"/>
  <c r="F8" i="16"/>
  <c r="L8" i="16" s="1"/>
  <c r="G10" i="16"/>
  <c r="L11" i="16" s="1"/>
  <c r="G9" i="16"/>
  <c r="L10" i="16" s="1"/>
  <c r="G8" i="16"/>
  <c r="L9" i="16" s="1"/>
  <c r="E9" i="15"/>
  <c r="E8" i="15"/>
  <c r="L7" i="15" s="1"/>
  <c r="E10" i="15"/>
  <c r="F10" i="15"/>
  <c r="F9" i="15"/>
  <c r="F8" i="15"/>
  <c r="L8" i="15" s="1"/>
  <c r="G10" i="15"/>
  <c r="L11" i="15" s="1"/>
  <c r="G9" i="15"/>
  <c r="L10" i="15" s="1"/>
  <c r="G8" i="15"/>
  <c r="L9" i="15" s="1"/>
  <c r="F10" i="14"/>
  <c r="F9" i="14"/>
  <c r="F8" i="14"/>
  <c r="E10" i="14"/>
  <c r="E8" i="14"/>
  <c r="L7" i="14" s="1"/>
  <c r="E9" i="14"/>
  <c r="G10" i="14"/>
  <c r="L11" i="14" s="1"/>
  <c r="G9" i="14"/>
  <c r="L10" i="14" s="1"/>
  <c r="G8" i="14"/>
  <c r="L9" i="14" s="1"/>
  <c r="E10" i="13"/>
  <c r="E9" i="13"/>
  <c r="E8" i="13"/>
  <c r="L7" i="13" s="1"/>
  <c r="F10" i="13"/>
  <c r="F8" i="13"/>
  <c r="L8" i="13" s="1"/>
  <c r="F9" i="13"/>
  <c r="G10" i="13"/>
  <c r="L11" i="13" s="1"/>
  <c r="G8" i="13"/>
  <c r="G9" i="13"/>
  <c r="L10" i="13" s="1"/>
  <c r="E10" i="12"/>
  <c r="E8" i="12"/>
  <c r="L7" i="12" s="1"/>
  <c r="E9" i="12"/>
  <c r="F10" i="12"/>
  <c r="F9" i="12"/>
  <c r="F8" i="12"/>
  <c r="L8" i="12" s="1"/>
  <c r="G10" i="12"/>
  <c r="L11" i="12" s="1"/>
  <c r="G9" i="12"/>
  <c r="L10" i="12" s="1"/>
  <c r="G8" i="12"/>
  <c r="L9" i="12" s="1"/>
  <c r="L3" i="11"/>
  <c r="F8" i="11" s="1"/>
  <c r="F10" i="11"/>
  <c r="E8" i="11"/>
  <c r="L7" i="11" s="1"/>
  <c r="E10" i="11"/>
  <c r="E9" i="11"/>
  <c r="G10" i="11"/>
  <c r="L11" i="11" s="1"/>
  <c r="G8" i="11"/>
  <c r="G9" i="11"/>
  <c r="I16" i="1" l="1"/>
  <c r="I20" i="1"/>
  <c r="L23" i="1" s="1"/>
  <c r="I17" i="1"/>
  <c r="I15" i="1"/>
  <c r="I18" i="1"/>
  <c r="I19" i="1"/>
  <c r="G15" i="1"/>
  <c r="G17" i="1"/>
  <c r="G19" i="1"/>
  <c r="G20" i="1"/>
  <c r="G18" i="1"/>
  <c r="G16" i="1"/>
  <c r="E18" i="1"/>
  <c r="E19" i="1"/>
  <c r="E15" i="1"/>
  <c r="L14" i="1" s="1"/>
  <c r="E17" i="1"/>
  <c r="L16" i="1" s="1"/>
  <c r="E16" i="1"/>
  <c r="L15" i="1" s="1"/>
  <c r="E20" i="1"/>
  <c r="L10" i="1"/>
  <c r="F17" i="1"/>
  <c r="F19" i="1"/>
  <c r="F15" i="1"/>
  <c r="F16" i="1"/>
  <c r="F20" i="1"/>
  <c r="F18" i="1"/>
  <c r="I20" i="2"/>
  <c r="L23" i="2" s="1"/>
  <c r="I16" i="2"/>
  <c r="I19" i="2"/>
  <c r="I18" i="2"/>
  <c r="I15" i="2"/>
  <c r="I17" i="2"/>
  <c r="G17" i="2"/>
  <c r="G20" i="2"/>
  <c r="G16" i="2"/>
  <c r="G15" i="2"/>
  <c r="G19" i="2"/>
  <c r="G18" i="2"/>
  <c r="H17" i="2"/>
  <c r="H20" i="2"/>
  <c r="L22" i="2" s="1"/>
  <c r="H16" i="2"/>
  <c r="H15" i="2"/>
  <c r="H19" i="2"/>
  <c r="H18" i="2"/>
  <c r="E17" i="2"/>
  <c r="E15" i="2"/>
  <c r="L14" i="2" s="1"/>
  <c r="E20" i="2"/>
  <c r="E16" i="2"/>
  <c r="E19" i="2"/>
  <c r="E18" i="2"/>
  <c r="L8" i="2"/>
  <c r="L10" i="3"/>
  <c r="G17" i="3"/>
  <c r="G15" i="3"/>
  <c r="G20" i="3"/>
  <c r="G16" i="3"/>
  <c r="G19" i="3"/>
  <c r="G18" i="3"/>
  <c r="F17" i="3"/>
  <c r="F16" i="3"/>
  <c r="F19" i="3"/>
  <c r="F18" i="3"/>
  <c r="F20" i="3"/>
  <c r="F15" i="3"/>
  <c r="E17" i="3"/>
  <c r="L16" i="3" s="1"/>
  <c r="E20" i="3"/>
  <c r="E16" i="3"/>
  <c r="L15" i="3" s="1"/>
  <c r="E15" i="3"/>
  <c r="L14" i="3" s="1"/>
  <c r="E19" i="3"/>
  <c r="E18" i="3"/>
  <c r="I17" i="3"/>
  <c r="I20" i="3"/>
  <c r="L23" i="3" s="1"/>
  <c r="I15" i="3"/>
  <c r="I16" i="3"/>
  <c r="I18" i="3"/>
  <c r="I19" i="3"/>
  <c r="I17" i="4"/>
  <c r="I20" i="4"/>
  <c r="L23" i="4" s="1"/>
  <c r="I18" i="4"/>
  <c r="I16" i="4"/>
  <c r="I15" i="4"/>
  <c r="I19" i="4"/>
  <c r="F17" i="4"/>
  <c r="F15" i="4"/>
  <c r="F20" i="4"/>
  <c r="F16" i="4"/>
  <c r="F18" i="4"/>
  <c r="F19" i="4"/>
  <c r="G15" i="4"/>
  <c r="G18" i="4"/>
  <c r="G20" i="4"/>
  <c r="L21" i="4" s="1"/>
  <c r="G17" i="4"/>
  <c r="G16" i="4"/>
  <c r="G19" i="4"/>
  <c r="H17" i="4"/>
  <c r="H20" i="4"/>
  <c r="L22" i="4" s="1"/>
  <c r="H16" i="4"/>
  <c r="H18" i="4"/>
  <c r="H19" i="4"/>
  <c r="H15" i="4"/>
  <c r="E18" i="4"/>
  <c r="E17" i="4"/>
  <c r="E20" i="4"/>
  <c r="E15" i="4"/>
  <c r="L14" i="4" s="1"/>
  <c r="E16" i="4"/>
  <c r="L15" i="4" s="1"/>
  <c r="E19" i="4"/>
  <c r="H17" i="16"/>
  <c r="H18" i="16"/>
  <c r="H20" i="16"/>
  <c r="H15" i="16"/>
  <c r="H16" i="16"/>
  <c r="H19" i="16"/>
  <c r="I17" i="16"/>
  <c r="I20" i="16"/>
  <c r="L23" i="16" s="1"/>
  <c r="I15" i="16"/>
  <c r="I16" i="16"/>
  <c r="I18" i="16"/>
  <c r="I19" i="16"/>
  <c r="F17" i="16"/>
  <c r="F15" i="16"/>
  <c r="F18" i="16"/>
  <c r="F20" i="16"/>
  <c r="L20" i="16" s="1"/>
  <c r="F19" i="16"/>
  <c r="F16" i="16"/>
  <c r="E18" i="16"/>
  <c r="L17" i="16" s="1"/>
  <c r="E17" i="16"/>
  <c r="L16" i="16" s="1"/>
  <c r="E16" i="16"/>
  <c r="E15" i="16"/>
  <c r="L14" i="16" s="1"/>
  <c r="E20" i="16"/>
  <c r="E19" i="16"/>
  <c r="G17" i="16"/>
  <c r="G16" i="16"/>
  <c r="G20" i="16"/>
  <c r="G19" i="16"/>
  <c r="G15" i="16"/>
  <c r="G18" i="16"/>
  <c r="G15" i="15"/>
  <c r="G17" i="15"/>
  <c r="G16" i="15"/>
  <c r="G19" i="15"/>
  <c r="G18" i="15"/>
  <c r="G20" i="15"/>
  <c r="I19" i="15"/>
  <c r="I17" i="15"/>
  <c r="I16" i="15"/>
  <c r="I15" i="15"/>
  <c r="I18" i="15"/>
  <c r="I20" i="15"/>
  <c r="L23" i="15" s="1"/>
  <c r="H17" i="15"/>
  <c r="H20" i="15"/>
  <c r="L22" i="15" s="1"/>
  <c r="H16" i="15"/>
  <c r="H19" i="15"/>
  <c r="H15" i="15"/>
  <c r="H18" i="15"/>
  <c r="E18" i="15"/>
  <c r="E19" i="15"/>
  <c r="L18" i="15" s="1"/>
  <c r="E17" i="15"/>
  <c r="E16" i="15"/>
  <c r="L15" i="15" s="1"/>
  <c r="E15" i="15"/>
  <c r="L14" i="15" s="1"/>
  <c r="E20" i="15"/>
  <c r="F16" i="15"/>
  <c r="F17" i="15"/>
  <c r="F20" i="15"/>
  <c r="F19" i="15"/>
  <c r="F15" i="15"/>
  <c r="F18" i="15"/>
  <c r="H20" i="14"/>
  <c r="H17" i="14"/>
  <c r="H16" i="14"/>
  <c r="H15" i="14"/>
  <c r="H18" i="14"/>
  <c r="H19" i="14"/>
  <c r="I20" i="14"/>
  <c r="L23" i="14" s="1"/>
  <c r="I17" i="14"/>
  <c r="I15" i="14"/>
  <c r="I16" i="14"/>
  <c r="I19" i="14"/>
  <c r="I18" i="14"/>
  <c r="E18" i="14"/>
  <c r="E16" i="14"/>
  <c r="E17" i="14"/>
  <c r="E19" i="14"/>
  <c r="E20" i="14"/>
  <c r="E15" i="14"/>
  <c r="L14" i="14" s="1"/>
  <c r="L8" i="14"/>
  <c r="G17" i="14"/>
  <c r="G15" i="14"/>
  <c r="G18" i="14"/>
  <c r="G20" i="14"/>
  <c r="G16" i="14"/>
  <c r="G19" i="14"/>
  <c r="I17" i="13"/>
  <c r="I20" i="13"/>
  <c r="L23" i="13" s="1"/>
  <c r="I15" i="13"/>
  <c r="I18" i="13"/>
  <c r="I19" i="13"/>
  <c r="I16" i="13"/>
  <c r="F18" i="13"/>
  <c r="F17" i="13"/>
  <c r="F20" i="13"/>
  <c r="F16" i="13"/>
  <c r="F19" i="13"/>
  <c r="F15" i="13"/>
  <c r="H17" i="13"/>
  <c r="H15" i="13"/>
  <c r="H20" i="13"/>
  <c r="L22" i="13" s="1"/>
  <c r="H16" i="13"/>
  <c r="H19" i="13"/>
  <c r="H18" i="13"/>
  <c r="L9" i="13"/>
  <c r="E18" i="13"/>
  <c r="E15" i="13"/>
  <c r="L14" i="13" s="1"/>
  <c r="E16" i="13"/>
  <c r="E17" i="13"/>
  <c r="E20" i="13"/>
  <c r="E19" i="13"/>
  <c r="G15" i="12"/>
  <c r="G17" i="12"/>
  <c r="G20" i="12"/>
  <c r="G16" i="12"/>
  <c r="G18" i="12"/>
  <c r="G19" i="12"/>
  <c r="H17" i="12"/>
  <c r="H15" i="12"/>
  <c r="H20" i="12"/>
  <c r="H16" i="12"/>
  <c r="H18" i="12"/>
  <c r="H19" i="12"/>
  <c r="I17" i="12"/>
  <c r="I20" i="12"/>
  <c r="L23" i="12" s="1"/>
  <c r="I18" i="12"/>
  <c r="I16" i="12"/>
  <c r="I15" i="12"/>
  <c r="I19" i="12"/>
  <c r="F17" i="12"/>
  <c r="F19" i="12"/>
  <c r="F20" i="12"/>
  <c r="F16" i="12"/>
  <c r="F15" i="12"/>
  <c r="F18" i="12"/>
  <c r="E18" i="12"/>
  <c r="E17" i="12"/>
  <c r="L16" i="12" s="1"/>
  <c r="E15" i="12"/>
  <c r="L14" i="12" s="1"/>
  <c r="E20" i="12"/>
  <c r="E16" i="12"/>
  <c r="L15" i="12" s="1"/>
  <c r="E19" i="12"/>
  <c r="L10" i="11"/>
  <c r="H20" i="11" s="1"/>
  <c r="F9" i="11"/>
  <c r="L9" i="11" s="1"/>
  <c r="H17" i="11"/>
  <c r="H16" i="11"/>
  <c r="H15" i="11"/>
  <c r="H18" i="11"/>
  <c r="H19" i="11"/>
  <c r="I17" i="11"/>
  <c r="I20" i="11"/>
  <c r="L23" i="11" s="1"/>
  <c r="I16" i="11"/>
  <c r="I15" i="11"/>
  <c r="I19" i="11"/>
  <c r="I18" i="11"/>
  <c r="E18" i="11"/>
  <c r="E17" i="11"/>
  <c r="E15" i="11"/>
  <c r="L14" i="11" s="1"/>
  <c r="E20" i="11"/>
  <c r="E16" i="11"/>
  <c r="E19" i="11"/>
  <c r="L8" i="11"/>
  <c r="H17" i="1" l="1"/>
  <c r="L19" i="1" s="1"/>
  <c r="H19" i="1"/>
  <c r="H20" i="1"/>
  <c r="L22" i="1" s="1"/>
  <c r="H16" i="1"/>
  <c r="H15" i="1"/>
  <c r="H18" i="1"/>
  <c r="L18" i="1"/>
  <c r="L17" i="1"/>
  <c r="L21" i="1"/>
  <c r="L20" i="1"/>
  <c r="F17" i="2"/>
  <c r="F20" i="2"/>
  <c r="L20" i="2" s="1"/>
  <c r="F16" i="2"/>
  <c r="F18" i="2"/>
  <c r="F15" i="2"/>
  <c r="F19" i="2"/>
  <c r="L16" i="2"/>
  <c r="L21" i="2"/>
  <c r="L17" i="2"/>
  <c r="L18" i="2"/>
  <c r="L15" i="2"/>
  <c r="L19" i="2"/>
  <c r="H17" i="3"/>
  <c r="L19" i="3" s="1"/>
  <c r="H16" i="3"/>
  <c r="L18" i="3" s="1"/>
  <c r="H15" i="3"/>
  <c r="L17" i="3" s="1"/>
  <c r="H20" i="3"/>
  <c r="L22" i="3" s="1"/>
  <c r="H19" i="3"/>
  <c r="L21" i="3" s="1"/>
  <c r="H18" i="3"/>
  <c r="L20" i="3" s="1"/>
  <c r="L20" i="4"/>
  <c r="L18" i="4"/>
  <c r="L19" i="4"/>
  <c r="L16" i="4"/>
  <c r="L17" i="4"/>
  <c r="L21" i="16"/>
  <c r="L18" i="16"/>
  <c r="L19" i="16"/>
  <c r="L22" i="16"/>
  <c r="L15" i="16"/>
  <c r="L21" i="15"/>
  <c r="L20" i="15"/>
  <c r="L17" i="15"/>
  <c r="L19" i="15"/>
  <c r="L16" i="15"/>
  <c r="F17" i="14"/>
  <c r="F15" i="14"/>
  <c r="F18" i="14"/>
  <c r="F20" i="14"/>
  <c r="L20" i="14" s="1"/>
  <c r="F19" i="14"/>
  <c r="L19" i="14" s="1"/>
  <c r="F16" i="14"/>
  <c r="L17" i="14"/>
  <c r="L18" i="14"/>
  <c r="L15" i="14"/>
  <c r="L21" i="14"/>
  <c r="L16" i="14"/>
  <c r="L22" i="14"/>
  <c r="L18" i="13"/>
  <c r="G17" i="13"/>
  <c r="G19" i="13"/>
  <c r="L20" i="13" s="1"/>
  <c r="G15" i="13"/>
  <c r="G20" i="13"/>
  <c r="L21" i="13" s="1"/>
  <c r="G16" i="13"/>
  <c r="L17" i="13" s="1"/>
  <c r="G18" i="13"/>
  <c r="L19" i="13"/>
  <c r="L16" i="13"/>
  <c r="L15" i="13"/>
  <c r="L18" i="12"/>
  <c r="L22" i="12"/>
  <c r="L19" i="12"/>
  <c r="L17" i="12"/>
  <c r="L21" i="12"/>
  <c r="L20" i="12"/>
  <c r="F18" i="11"/>
  <c r="F17" i="11"/>
  <c r="F15" i="11"/>
  <c r="L15" i="11" s="1"/>
  <c r="F20" i="11"/>
  <c r="F16" i="11"/>
  <c r="F19" i="11"/>
  <c r="G18" i="11"/>
  <c r="L19" i="11" s="1"/>
  <c r="G17" i="11"/>
  <c r="L18" i="11" s="1"/>
  <c r="G20" i="11"/>
  <c r="L21" i="11" s="1"/>
  <c r="G16" i="11"/>
  <c r="L17" i="11" s="1"/>
  <c r="G19" i="11"/>
  <c r="G15" i="11"/>
  <c r="L16" i="11" s="1"/>
  <c r="L22" i="11"/>
  <c r="L20" i="11" l="1"/>
</calcChain>
</file>

<file path=xl/sharedStrings.xml><?xml version="1.0" encoding="utf-8"?>
<sst xmlns="http://schemas.openxmlformats.org/spreadsheetml/2006/main" count="580" uniqueCount="37">
  <si>
    <t>MID</t>
  </si>
  <si>
    <t>combination of two MTHF</t>
  </si>
  <si>
    <t>hypothetical isotopologues of two MTHF</t>
  </si>
  <si>
    <t>combination of two MTHF with glycine</t>
  </si>
  <si>
    <t>2MTHF M+0</t>
  </si>
  <si>
    <t>2MTHF M+1</t>
  </si>
  <si>
    <t>2MTHF M+2</t>
  </si>
  <si>
    <t>MTHF M+0</t>
  </si>
  <si>
    <t>MTHF M+1</t>
  </si>
  <si>
    <t>hypothetical isotoplogues of combined 2MTHF+GLY</t>
  </si>
  <si>
    <t>2MTHF+GLY M+0</t>
  </si>
  <si>
    <t>2MTHF+GLY M+1</t>
  </si>
  <si>
    <t>2MTHF+GLY M+2</t>
  </si>
  <si>
    <t>2MTHF+GLY M+3</t>
  </si>
  <si>
    <t>2MTHF+GLY M+4</t>
  </si>
  <si>
    <t>combination of two MTHF with glycine and R5P</t>
  </si>
  <si>
    <t>R5P M+0</t>
  </si>
  <si>
    <t>R5P M+1</t>
  </si>
  <si>
    <t>R5P M+3</t>
  </si>
  <si>
    <t>R5P M+5</t>
  </si>
  <si>
    <t>R5P M+2</t>
  </si>
  <si>
    <t>R5P M+4</t>
  </si>
  <si>
    <t>GLY M+0</t>
  </si>
  <si>
    <t>GLY M+1</t>
  </si>
  <si>
    <t>GLY M+2</t>
  </si>
  <si>
    <t>hypothetical isotoplogues of combined 2MTHF+GLY+R5P</t>
  </si>
  <si>
    <t>2MTHF+GLY+R5P M+0</t>
  </si>
  <si>
    <t>2MTHF+GLY+R5P M+1</t>
  </si>
  <si>
    <t>2MTHF+GLY+R5P M+2</t>
  </si>
  <si>
    <t>2MTHF+GLY+R5P M+3</t>
  </si>
  <si>
    <t>2MTHF+GLY+R5P M+4</t>
  </si>
  <si>
    <t>2MTHF+GLY+R5P M+5</t>
  </si>
  <si>
    <t>2MTHF+GLY+R5P M+6</t>
  </si>
  <si>
    <t>2MTHF+GLY+R5P M+7</t>
  </si>
  <si>
    <t>2MTHF+GLY+R5P M+8</t>
  </si>
  <si>
    <t>2MTHF+GLY+R5P M+9</t>
  </si>
  <si>
    <t>mean of technical replicates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</si>
</sst>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selection activeCell="J26" sqref="J26"/>
    </sheetView>
  </sheetViews>
  <sheetFormatPr defaultRowHeight="15" x14ac:dyDescent="0.25"/>
  <cols>
    <col min="1" max="1" width="9.85546875" bestFit="1" customWidth="1"/>
    <col min="2" max="2" width="26.42578125" bestFit="1" customWidth="1"/>
    <col min="5" max="9" width="15.140625" bestFit="1" customWidth="1"/>
    <col min="10" max="10" width="12.140625" customWidth="1"/>
    <col min="11" max="11" width="19.42578125" customWidth="1"/>
  </cols>
  <sheetData>
    <row r="1" spans="1:12" x14ac:dyDescent="0.25">
      <c r="A1" t="s">
        <v>0</v>
      </c>
      <c r="B1" s="1" t="s">
        <v>36</v>
      </c>
      <c r="D1" t="s">
        <v>1</v>
      </c>
      <c r="K1" t="s">
        <v>2</v>
      </c>
    </row>
    <row r="2" spans="1:12" x14ac:dyDescent="0.25">
      <c r="A2" t="s">
        <v>22</v>
      </c>
      <c r="B2">
        <v>99.1</v>
      </c>
      <c r="E2" t="s">
        <v>7</v>
      </c>
      <c r="F2" t="s">
        <v>8</v>
      </c>
      <c r="K2" t="s">
        <v>4</v>
      </c>
      <c r="L2">
        <f>E3</f>
        <v>85.901034344715029</v>
      </c>
    </row>
    <row r="3" spans="1:12" x14ac:dyDescent="0.25">
      <c r="A3" t="s">
        <v>23</v>
      </c>
      <c r="B3">
        <v>1.3333332999999999E-2</v>
      </c>
      <c r="D3" t="s">
        <v>7</v>
      </c>
      <c r="E3">
        <f>B5*B5/100</f>
        <v>85.901034344715029</v>
      </c>
      <c r="F3">
        <f>B5*B6/100</f>
        <v>7.014931738649647</v>
      </c>
      <c r="K3" t="s">
        <v>5</v>
      </c>
      <c r="L3">
        <f>F3+E4</f>
        <v>14.029863477299294</v>
      </c>
    </row>
    <row r="4" spans="1:12" x14ac:dyDescent="0.25">
      <c r="A4" t="s">
        <v>24</v>
      </c>
      <c r="B4">
        <v>0.88666666699999996</v>
      </c>
      <c r="D4" t="s">
        <v>8</v>
      </c>
      <c r="E4">
        <f>B6*B5/100</f>
        <v>7.014931738649647</v>
      </c>
      <c r="F4">
        <f>B6*B6/100</f>
        <v>0.57286000888465094</v>
      </c>
      <c r="K4" t="s">
        <v>6</v>
      </c>
      <c r="L4">
        <f>F4</f>
        <v>0.57286000888465094</v>
      </c>
    </row>
    <row r="5" spans="1:12" x14ac:dyDescent="0.25">
      <c r="A5" t="s">
        <v>7</v>
      </c>
      <c r="B5">
        <v>92.682810889999999</v>
      </c>
    </row>
    <row r="6" spans="1:12" x14ac:dyDescent="0.25">
      <c r="A6" t="s">
        <v>8</v>
      </c>
      <c r="B6">
        <v>7.5687516070000003</v>
      </c>
      <c r="D6" t="s">
        <v>3</v>
      </c>
      <c r="K6" t="s">
        <v>9</v>
      </c>
    </row>
    <row r="7" spans="1:12" x14ac:dyDescent="0.25">
      <c r="A7" t="s">
        <v>16</v>
      </c>
      <c r="B7">
        <v>89.546666666666667</v>
      </c>
      <c r="E7" t="s">
        <v>4</v>
      </c>
      <c r="F7" t="s">
        <v>5</v>
      </c>
      <c r="G7" t="s">
        <v>6</v>
      </c>
      <c r="K7" t="s">
        <v>10</v>
      </c>
      <c r="L7">
        <f>E8</f>
        <v>85.127925035612591</v>
      </c>
    </row>
    <row r="8" spans="1:12" x14ac:dyDescent="0.25">
      <c r="A8" t="s">
        <v>17</v>
      </c>
      <c r="B8">
        <v>0.69666666666666666</v>
      </c>
      <c r="D8" t="s">
        <v>22</v>
      </c>
      <c r="E8">
        <f>B2*L2/100</f>
        <v>85.127925035612591</v>
      </c>
      <c r="F8">
        <f>B2*L3/100</f>
        <v>13.9035947060036</v>
      </c>
      <c r="G8">
        <f>B2*L4/100</f>
        <v>0.56770426880468905</v>
      </c>
      <c r="K8" t="s">
        <v>11</v>
      </c>
      <c r="L8">
        <f>F8+E9</f>
        <v>13.915048176963225</v>
      </c>
    </row>
    <row r="9" spans="1:12" x14ac:dyDescent="0.25">
      <c r="A9" t="s">
        <v>20</v>
      </c>
      <c r="B9">
        <v>3.2966666666666669</v>
      </c>
      <c r="D9" t="s">
        <v>23</v>
      </c>
      <c r="E9">
        <f>B3*L2/100</f>
        <v>1.1453470959625223E-2</v>
      </c>
      <c r="F9">
        <f>B3*L3/100</f>
        <v>1.8706484168736941E-3</v>
      </c>
      <c r="G9">
        <f>B3*L4/100</f>
        <v>7.6381332608420094E-5</v>
      </c>
      <c r="K9" t="s">
        <v>12</v>
      </c>
      <c r="L9">
        <f>G8+F9+E10</f>
        <v>1.3312307553643727</v>
      </c>
    </row>
    <row r="10" spans="1:12" x14ac:dyDescent="0.25">
      <c r="A10" t="s">
        <v>18</v>
      </c>
      <c r="B10">
        <v>4.4066666666666663</v>
      </c>
      <c r="D10" t="s">
        <v>24</v>
      </c>
      <c r="E10">
        <f>B4*L2/100</f>
        <v>0.76165583814281002</v>
      </c>
      <c r="F10">
        <f>B4*L3/100</f>
        <v>0.12439812287881996</v>
      </c>
      <c r="G10">
        <f>B4*L4/100</f>
        <v>5.0793587473534386E-3</v>
      </c>
      <c r="K10" t="s">
        <v>13</v>
      </c>
      <c r="L10">
        <f>G9+F10</f>
        <v>0.12447450421142837</v>
      </c>
    </row>
    <row r="11" spans="1:12" x14ac:dyDescent="0.25">
      <c r="A11" t="s">
        <v>21</v>
      </c>
      <c r="B11">
        <v>0.32</v>
      </c>
      <c r="K11" t="s">
        <v>14</v>
      </c>
      <c r="L11">
        <f>G10</f>
        <v>5.0793587473534386E-3</v>
      </c>
    </row>
    <row r="12" spans="1:12" x14ac:dyDescent="0.25">
      <c r="A12" t="s">
        <v>19</v>
      </c>
      <c r="B12">
        <v>1.74</v>
      </c>
    </row>
    <row r="13" spans="1:12" x14ac:dyDescent="0.25">
      <c r="D13" t="s">
        <v>15</v>
      </c>
      <c r="K13" t="s">
        <v>25</v>
      </c>
    </row>
    <row r="14" spans="1:12" x14ac:dyDescent="0.25">
      <c r="E14" t="s">
        <v>10</v>
      </c>
      <c r="F14" t="s">
        <v>11</v>
      </c>
      <c r="G14" t="s">
        <v>12</v>
      </c>
      <c r="H14" t="s">
        <v>13</v>
      </c>
      <c r="I14" t="s">
        <v>14</v>
      </c>
      <c r="K14" t="s">
        <v>26</v>
      </c>
      <c r="L14">
        <f>E15</f>
        <v>76.229219271889889</v>
      </c>
    </row>
    <row r="15" spans="1:12" x14ac:dyDescent="0.25">
      <c r="D15" t="s">
        <v>16</v>
      </c>
      <c r="E15">
        <f>B7*L7/100</f>
        <v>76.229219271889889</v>
      </c>
      <c r="F15">
        <f>B7*L8/100</f>
        <v>12.460461807531335</v>
      </c>
      <c r="G15">
        <f>B7*L9/100</f>
        <v>1.1920727670702838</v>
      </c>
      <c r="H15">
        <f>B7*L10/100</f>
        <v>0.11146276937119373</v>
      </c>
      <c r="I15">
        <f>B7*L11/100</f>
        <v>4.5483964462967588E-3</v>
      </c>
      <c r="K15" t="s">
        <v>27</v>
      </c>
      <c r="L15">
        <f>E16+F15</f>
        <v>13.053519685279436</v>
      </c>
    </row>
    <row r="16" spans="1:12" x14ac:dyDescent="0.25">
      <c r="D16" t="s">
        <v>17</v>
      </c>
      <c r="E16">
        <f>B8*L7/100</f>
        <v>0.59305787774810104</v>
      </c>
      <c r="F16">
        <f>B8*L8/100</f>
        <v>9.6941502299510471E-2</v>
      </c>
      <c r="G16">
        <f>B8*L9/100</f>
        <v>9.2742409290384638E-3</v>
      </c>
      <c r="H16">
        <f>B8*L10/100</f>
        <v>8.671723793396177E-4</v>
      </c>
      <c r="I16">
        <f>B8*L11/100</f>
        <v>3.5386199273228957E-5</v>
      </c>
      <c r="K16" t="s">
        <v>28</v>
      </c>
      <c r="L16">
        <f>E17+F16+G15</f>
        <v>4.0953981980438225</v>
      </c>
    </row>
    <row r="17" spans="4:12" x14ac:dyDescent="0.25">
      <c r="D17" t="s">
        <v>20</v>
      </c>
      <c r="E17">
        <f>B9*L7/100</f>
        <v>2.8063839286740286</v>
      </c>
      <c r="F17">
        <f>B9*L8/100</f>
        <v>0.45873275490055432</v>
      </c>
      <c r="G17">
        <f>B9*L9/100</f>
        <v>4.3886240568512154E-2</v>
      </c>
      <c r="H17">
        <f>B9*L10/100</f>
        <v>4.1035094888367558E-3</v>
      </c>
      <c r="I17">
        <f>B9*L11/100</f>
        <v>1.6744952670441838E-4</v>
      </c>
      <c r="K17" t="s">
        <v>29</v>
      </c>
      <c r="L17">
        <f>E18+F17+G16+H15</f>
        <v>4.330773661770114</v>
      </c>
    </row>
    <row r="18" spans="4:12" x14ac:dyDescent="0.25">
      <c r="D18" t="s">
        <v>18</v>
      </c>
      <c r="E18">
        <f>B10*L7/100</f>
        <v>3.7513038965693277</v>
      </c>
      <c r="F18">
        <f>B10*L8/100</f>
        <v>0.61318978966484605</v>
      </c>
      <c r="G18">
        <f>B10*L9/100</f>
        <v>5.8662901953056686E-2</v>
      </c>
      <c r="H18">
        <f>B10*L10/100</f>
        <v>5.4851764855836094E-3</v>
      </c>
      <c r="I18">
        <f>B10*L11/100</f>
        <v>2.2383040880004154E-4</v>
      </c>
      <c r="K18" t="s">
        <v>30</v>
      </c>
      <c r="L18">
        <f>E19+F18+G17+H16+I15</f>
        <v>0.93490095917295502</v>
      </c>
    </row>
    <row r="19" spans="4:12" x14ac:dyDescent="0.25">
      <c r="D19" t="s">
        <v>21</v>
      </c>
      <c r="E19">
        <f>B11*L7/100</f>
        <v>0.27240936011396033</v>
      </c>
      <c r="F19">
        <f>B11*L8/100</f>
        <v>4.4528154166282329E-2</v>
      </c>
      <c r="G19">
        <f>B11*L9/100</f>
        <v>4.2599384171659923E-3</v>
      </c>
      <c r="H19">
        <f>B11*L10/100</f>
        <v>3.9831841347657084E-4</v>
      </c>
      <c r="I19">
        <f>B11*L11/100</f>
        <v>1.6253947991531004E-5</v>
      </c>
      <c r="K19" t="s">
        <v>31</v>
      </c>
      <c r="L19">
        <f>E20+F19+G18+H17+I16</f>
        <v>1.588555847427108</v>
      </c>
    </row>
    <row r="20" spans="4:12" x14ac:dyDescent="0.25">
      <c r="D20" t="s">
        <v>19</v>
      </c>
      <c r="E20">
        <f>B12*L7/100</f>
        <v>1.4812258956196589</v>
      </c>
      <c r="F20">
        <f>B12*L8/100</f>
        <v>0.24212183827916012</v>
      </c>
      <c r="G20">
        <f>B12*L9/100</f>
        <v>2.3163415143340086E-2</v>
      </c>
      <c r="H20">
        <f>B12*L10/100</f>
        <v>2.1658563732788539E-3</v>
      </c>
      <c r="I20">
        <f>B12*L11/100</f>
        <v>8.8380842203949827E-5</v>
      </c>
      <c r="K20" t="s">
        <v>32</v>
      </c>
      <c r="L20">
        <f>F20+G19+H18+I17</f>
        <v>0.25203440270861416</v>
      </c>
    </row>
    <row r="21" spans="4:12" x14ac:dyDescent="0.25">
      <c r="K21" t="s">
        <v>33</v>
      </c>
      <c r="L21">
        <f>G20+H19+I18</f>
        <v>2.3785563965616697E-2</v>
      </c>
    </row>
    <row r="22" spans="4:12" x14ac:dyDescent="0.25">
      <c r="K22" t="s">
        <v>34</v>
      </c>
      <c r="L22">
        <f>H20+I19</f>
        <v>2.182110321270385E-3</v>
      </c>
    </row>
    <row r="23" spans="4:12" x14ac:dyDescent="0.25">
      <c r="K23" t="s">
        <v>35</v>
      </c>
      <c r="L23">
        <f>I20</f>
        <v>8.8380842203949827E-5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workbookViewId="0">
      <selection activeCell="D1" sqref="D1:O26"/>
    </sheetView>
  </sheetViews>
  <sheetFormatPr defaultRowHeight="15" x14ac:dyDescent="0.25"/>
  <cols>
    <col min="1" max="1" width="9.85546875" bestFit="1" customWidth="1"/>
    <col min="2" max="2" width="26.42578125" bestFit="1" customWidth="1"/>
    <col min="5" max="9" width="15.140625" bestFit="1" customWidth="1"/>
    <col min="10" max="10" width="12.140625" customWidth="1"/>
    <col min="11" max="11" width="20" customWidth="1"/>
  </cols>
  <sheetData>
    <row r="1" spans="1:12" x14ac:dyDescent="0.25">
      <c r="A1" t="s">
        <v>0</v>
      </c>
      <c r="B1" s="1" t="s">
        <v>36</v>
      </c>
      <c r="D1" t="s">
        <v>1</v>
      </c>
      <c r="K1" t="s">
        <v>2</v>
      </c>
    </row>
    <row r="2" spans="1:12" x14ac:dyDescent="0.25">
      <c r="A2" t="s">
        <v>22</v>
      </c>
      <c r="B2">
        <v>98.58</v>
      </c>
      <c r="E2" t="s">
        <v>7</v>
      </c>
      <c r="F2" t="s">
        <v>8</v>
      </c>
      <c r="K2" t="s">
        <v>4</v>
      </c>
      <c r="L2">
        <f>E3</f>
        <v>88.137014882589767</v>
      </c>
    </row>
    <row r="3" spans="1:12" x14ac:dyDescent="0.25">
      <c r="A3" t="s">
        <v>23</v>
      </c>
      <c r="B3">
        <v>0.35</v>
      </c>
      <c r="D3" t="s">
        <v>7</v>
      </c>
      <c r="E3">
        <f>B5*B5/100</f>
        <v>88.137014882589767</v>
      </c>
      <c r="F3">
        <f>B5*B6/100</f>
        <v>6.0359184446336895</v>
      </c>
      <c r="K3" t="s">
        <v>5</v>
      </c>
      <c r="L3">
        <f>F3+E4</f>
        <v>12.071836889267379</v>
      </c>
    </row>
    <row r="4" spans="1:12" x14ac:dyDescent="0.25">
      <c r="A4" t="s">
        <v>24</v>
      </c>
      <c r="B4">
        <v>1.07</v>
      </c>
      <c r="D4" t="s">
        <v>8</v>
      </c>
      <c r="E4">
        <f>B6*B5/100</f>
        <v>6.0359184446336895</v>
      </c>
      <c r="F4">
        <f>B6*B6/100</f>
        <v>0.41335994325201347</v>
      </c>
      <c r="K4" t="s">
        <v>6</v>
      </c>
      <c r="L4">
        <f>F4</f>
        <v>0.41335994325201347</v>
      </c>
    </row>
    <row r="5" spans="1:12" x14ac:dyDescent="0.25">
      <c r="A5" t="s">
        <v>7</v>
      </c>
      <c r="B5">
        <v>93.881315970000003</v>
      </c>
    </row>
    <row r="6" spans="1:12" x14ac:dyDescent="0.25">
      <c r="A6" t="s">
        <v>8</v>
      </c>
      <c r="B6">
        <v>6.4293074529999998</v>
      </c>
      <c r="D6" t="s">
        <v>3</v>
      </c>
      <c r="K6" t="s">
        <v>9</v>
      </c>
    </row>
    <row r="7" spans="1:12" x14ac:dyDescent="0.25">
      <c r="A7" t="s">
        <v>16</v>
      </c>
      <c r="B7">
        <v>89.413333333333341</v>
      </c>
      <c r="E7" t="s">
        <v>4</v>
      </c>
      <c r="F7" t="s">
        <v>5</v>
      </c>
      <c r="G7" t="s">
        <v>6</v>
      </c>
      <c r="K7" t="s">
        <v>10</v>
      </c>
      <c r="L7">
        <f>E8</f>
        <v>86.885469271256994</v>
      </c>
    </row>
    <row r="8" spans="1:12" x14ac:dyDescent="0.25">
      <c r="A8" t="s">
        <v>17</v>
      </c>
      <c r="B8">
        <v>0.70333333333333325</v>
      </c>
      <c r="D8" t="s">
        <v>22</v>
      </c>
      <c r="E8">
        <f>B2*L2/100</f>
        <v>86.885469271256994</v>
      </c>
      <c r="F8">
        <f>B2*L3/100</f>
        <v>11.900416805439782</v>
      </c>
      <c r="G8">
        <f>B2*L4/100</f>
        <v>0.40749023205783486</v>
      </c>
      <c r="K8" t="s">
        <v>11</v>
      </c>
      <c r="L8">
        <f>F8+E9</f>
        <v>12.208896357528847</v>
      </c>
    </row>
    <row r="9" spans="1:12" x14ac:dyDescent="0.25">
      <c r="A9" t="s">
        <v>20</v>
      </c>
      <c r="B9">
        <v>3.3466666666666671</v>
      </c>
      <c r="D9" t="s">
        <v>23</v>
      </c>
      <c r="E9">
        <f>B3*L2/100</f>
        <v>0.30847955208906419</v>
      </c>
      <c r="F9">
        <f>B3*L3/100</f>
        <v>4.2251429112435825E-2</v>
      </c>
      <c r="G9">
        <f>B3*L4/100</f>
        <v>1.446759801382047E-3</v>
      </c>
      <c r="K9" t="s">
        <v>12</v>
      </c>
      <c r="L9">
        <f>G8+F9+E10</f>
        <v>1.3928077204139813</v>
      </c>
    </row>
    <row r="10" spans="1:12" x14ac:dyDescent="0.25">
      <c r="A10" t="s">
        <v>18</v>
      </c>
      <c r="B10">
        <v>4.956666666666667</v>
      </c>
      <c r="D10" t="s">
        <v>24</v>
      </c>
      <c r="E10">
        <f>B4*L2/100</f>
        <v>0.94306605924371056</v>
      </c>
      <c r="F10">
        <f>B4*L3/100</f>
        <v>0.12916865471516098</v>
      </c>
      <c r="G10">
        <f>B4*L4/100</f>
        <v>4.422951392796544E-3</v>
      </c>
      <c r="K10" t="s">
        <v>13</v>
      </c>
      <c r="L10">
        <f>G9+F10</f>
        <v>0.13061541451654302</v>
      </c>
    </row>
    <row r="11" spans="1:12" x14ac:dyDescent="0.25">
      <c r="A11" t="s">
        <v>21</v>
      </c>
      <c r="B11">
        <v>0.33</v>
      </c>
      <c r="K11" t="s">
        <v>14</v>
      </c>
      <c r="L11">
        <f>G10</f>
        <v>4.422951392796544E-3</v>
      </c>
    </row>
    <row r="12" spans="1:12" x14ac:dyDescent="0.25">
      <c r="A12" t="s">
        <v>19</v>
      </c>
      <c r="B12">
        <v>1.25</v>
      </c>
    </row>
    <row r="13" spans="1:12" x14ac:dyDescent="0.25">
      <c r="D13" t="s">
        <v>15</v>
      </c>
      <c r="K13" t="s">
        <v>25</v>
      </c>
    </row>
    <row r="14" spans="1:12" x14ac:dyDescent="0.25">
      <c r="E14" t="s">
        <v>10</v>
      </c>
      <c r="F14" t="s">
        <v>11</v>
      </c>
      <c r="G14" t="s">
        <v>12</v>
      </c>
      <c r="H14" t="s">
        <v>13</v>
      </c>
      <c r="I14" t="s">
        <v>14</v>
      </c>
      <c r="K14" t="s">
        <v>26</v>
      </c>
      <c r="L14">
        <f>E15</f>
        <v>77.687194257739932</v>
      </c>
    </row>
    <row r="15" spans="1:12" x14ac:dyDescent="0.25">
      <c r="D15" t="s">
        <v>16</v>
      </c>
      <c r="E15">
        <f>B7*L7/100</f>
        <v>77.687194257739932</v>
      </c>
      <c r="F15">
        <f>B7*L8/100</f>
        <v>10.91638119647846</v>
      </c>
      <c r="G15">
        <f>B7*L9/100</f>
        <v>1.2453558097461546</v>
      </c>
      <c r="H15">
        <f>B7*L10/100</f>
        <v>0.11678759596639168</v>
      </c>
      <c r="I15">
        <f>B7*L11/100</f>
        <v>3.9547082720124841E-3</v>
      </c>
      <c r="K15" t="s">
        <v>27</v>
      </c>
      <c r="L15">
        <f>E16+F15</f>
        <v>11.5274756636863</v>
      </c>
    </row>
    <row r="16" spans="1:12" x14ac:dyDescent="0.25">
      <c r="D16" t="s">
        <v>17</v>
      </c>
      <c r="E16">
        <f>B8*L7/100</f>
        <v>0.61109446720784077</v>
      </c>
      <c r="F16">
        <f>B8*L8/100</f>
        <v>8.5869237714619545E-2</v>
      </c>
      <c r="G16">
        <f>B8*L9/100</f>
        <v>9.7960809669116675E-3</v>
      </c>
      <c r="H16">
        <f>B8*L10/100</f>
        <v>9.186617487663525E-4</v>
      </c>
      <c r="I16">
        <f>B8*L11/100</f>
        <v>3.1108091462669023E-5</v>
      </c>
      <c r="K16" t="s">
        <v>28</v>
      </c>
      <c r="L16">
        <f>E17+F16+G15</f>
        <v>4.2389920857388423</v>
      </c>
    </row>
    <row r="17" spans="4:12" x14ac:dyDescent="0.25">
      <c r="D17" t="s">
        <v>20</v>
      </c>
      <c r="E17">
        <f>B9*L7/100</f>
        <v>2.907767038278068</v>
      </c>
      <c r="F17">
        <f>B9*L8/100</f>
        <v>0.40859106476529883</v>
      </c>
      <c r="G17">
        <f>B9*L9/100</f>
        <v>4.6612631709854579E-2</v>
      </c>
      <c r="H17">
        <f>B9*L10/100</f>
        <v>4.37126253915364E-3</v>
      </c>
      <c r="I17">
        <f>B9*L11/100</f>
        <v>1.4802143994559102E-4</v>
      </c>
      <c r="K17" t="s">
        <v>29</v>
      </c>
      <c r="L17">
        <f>E18+F17+G16+H15</f>
        <v>4.8417978352439066</v>
      </c>
    </row>
    <row r="18" spans="4:12" x14ac:dyDescent="0.25">
      <c r="D18" t="s">
        <v>18</v>
      </c>
      <c r="E18">
        <f>B10*L7/100</f>
        <v>4.3066230935453049</v>
      </c>
      <c r="F18">
        <f>B10*L8/100</f>
        <v>0.60515429612151328</v>
      </c>
      <c r="G18">
        <f>B10*L9/100</f>
        <v>6.9036836008519675E-2</v>
      </c>
      <c r="H18">
        <f>B10*L10/100</f>
        <v>6.4741707128699822E-3</v>
      </c>
      <c r="I18">
        <f>B10*L11/100</f>
        <v>2.1923095736961536E-4</v>
      </c>
      <c r="K18" t="s">
        <v>30</v>
      </c>
      <c r="L18">
        <f>E19+F18+G17+H16+I15</f>
        <v>0.94336234644729466</v>
      </c>
    </row>
    <row r="19" spans="4:12" x14ac:dyDescent="0.25">
      <c r="D19" t="s">
        <v>21</v>
      </c>
      <c r="E19">
        <f>B11*L7/100</f>
        <v>0.2867220485951481</v>
      </c>
      <c r="F19">
        <f>B11*L8/100</f>
        <v>4.0289357979845203E-2</v>
      </c>
      <c r="G19">
        <f>B11*L9/100</f>
        <v>4.5962654773661384E-3</v>
      </c>
      <c r="H19">
        <f>B11*L10/100</f>
        <v>4.3103086790459194E-4</v>
      </c>
      <c r="I19">
        <f>B11*L11/100</f>
        <v>1.4595739596228595E-5</v>
      </c>
      <c r="K19" t="s">
        <v>31</v>
      </c>
      <c r="L19">
        <f>E20+F19+G18+H17+I16</f>
        <v>1.1997969305096934</v>
      </c>
    </row>
    <row r="20" spans="4:12" x14ac:dyDescent="0.25">
      <c r="D20" t="s">
        <v>19</v>
      </c>
      <c r="E20">
        <f>B12*L7/100</f>
        <v>1.0860683658907124</v>
      </c>
      <c r="F20">
        <f>B12*L8/100</f>
        <v>0.15261120446911058</v>
      </c>
      <c r="G20">
        <f>B12*L9/100</f>
        <v>1.7410096505174767E-2</v>
      </c>
      <c r="H20">
        <f>B12*L10/100</f>
        <v>1.6326926814567877E-3</v>
      </c>
      <c r="I20">
        <f>B12*L11/100</f>
        <v>5.5286892409956796E-5</v>
      </c>
      <c r="K20" t="s">
        <v>32</v>
      </c>
      <c r="L20">
        <f>F20+G19+H18+I17</f>
        <v>0.16382966209929228</v>
      </c>
    </row>
    <row r="21" spans="4:12" x14ac:dyDescent="0.25">
      <c r="K21" t="s">
        <v>33</v>
      </c>
      <c r="L21">
        <f>G20+H19+I18</f>
        <v>1.8060358330448972E-2</v>
      </c>
    </row>
    <row r="22" spans="4:12" x14ac:dyDescent="0.25">
      <c r="K22" t="s">
        <v>34</v>
      </c>
      <c r="L22">
        <f>H20+I19</f>
        <v>1.6472884210530162E-3</v>
      </c>
    </row>
    <row r="23" spans="4:12" x14ac:dyDescent="0.25">
      <c r="K23" t="s">
        <v>35</v>
      </c>
      <c r="L23">
        <f>I20</f>
        <v>5.5286892409956796E-5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3"/>
  <sheetViews>
    <sheetView workbookViewId="0">
      <selection activeCell="D1" sqref="D1:O24"/>
    </sheetView>
  </sheetViews>
  <sheetFormatPr defaultRowHeight="15" x14ac:dyDescent="0.25"/>
  <cols>
    <col min="1" max="1" width="9.85546875" bestFit="1" customWidth="1"/>
    <col min="2" max="2" width="26.42578125" bestFit="1" customWidth="1"/>
    <col min="5" max="9" width="15.140625" bestFit="1" customWidth="1"/>
    <col min="10" max="10" width="12.140625" customWidth="1"/>
    <col min="11" max="11" width="20.140625" customWidth="1"/>
  </cols>
  <sheetData>
    <row r="1" spans="1:12" x14ac:dyDescent="0.25">
      <c r="A1" t="s">
        <v>0</v>
      </c>
      <c r="B1" s="1" t="s">
        <v>36</v>
      </c>
      <c r="D1" t="s">
        <v>1</v>
      </c>
      <c r="K1" t="s">
        <v>2</v>
      </c>
    </row>
    <row r="2" spans="1:12" x14ac:dyDescent="0.25">
      <c r="A2" t="s">
        <v>22</v>
      </c>
      <c r="B2">
        <v>98.613333330000003</v>
      </c>
      <c r="E2" t="s">
        <v>7</v>
      </c>
      <c r="F2" t="s">
        <v>8</v>
      </c>
      <c r="K2" t="s">
        <v>4</v>
      </c>
      <c r="L2">
        <f>E3</f>
        <v>87.685848766113452</v>
      </c>
    </row>
    <row r="3" spans="1:12" x14ac:dyDescent="0.25">
      <c r="A3" t="s">
        <v>23</v>
      </c>
      <c r="B3">
        <v>0.36333333299999998</v>
      </c>
      <c r="D3" t="s">
        <v>7</v>
      </c>
      <c r="E3">
        <f>B5*B5/100</f>
        <v>87.685848766113452</v>
      </c>
      <c r="F3">
        <f>B5*B6/100</f>
        <v>6.0026044100090576</v>
      </c>
      <c r="K3" t="s">
        <v>5</v>
      </c>
      <c r="L3">
        <f>F3+E4</f>
        <v>12.005208820018115</v>
      </c>
    </row>
    <row r="4" spans="1:12" x14ac:dyDescent="0.25">
      <c r="A4" t="s">
        <v>24</v>
      </c>
      <c r="B4">
        <v>1.02</v>
      </c>
      <c r="D4" t="s">
        <v>8</v>
      </c>
      <c r="E4">
        <f>B6*B5/100</f>
        <v>6.0026044100090576</v>
      </c>
      <c r="F4">
        <f>B6*B6/100</f>
        <v>0.41091305165064002</v>
      </c>
      <c r="K4" t="s">
        <v>6</v>
      </c>
      <c r="L4">
        <f>F4</f>
        <v>0.41091305165064002</v>
      </c>
    </row>
    <row r="5" spans="1:12" x14ac:dyDescent="0.25">
      <c r="A5" t="s">
        <v>7</v>
      </c>
      <c r="B5">
        <v>93.640722319999995</v>
      </c>
    </row>
    <row r="6" spans="1:12" x14ac:dyDescent="0.25">
      <c r="A6" t="s">
        <v>8</v>
      </c>
      <c r="B6">
        <v>6.4102500080000002</v>
      </c>
      <c r="D6" t="s">
        <v>3</v>
      </c>
      <c r="K6" t="s">
        <v>9</v>
      </c>
    </row>
    <row r="7" spans="1:12" x14ac:dyDescent="0.25">
      <c r="A7" t="s">
        <v>16</v>
      </c>
      <c r="B7">
        <v>92.403333333333322</v>
      </c>
      <c r="E7" t="s">
        <v>4</v>
      </c>
      <c r="F7" t="s">
        <v>5</v>
      </c>
      <c r="G7" t="s">
        <v>6</v>
      </c>
      <c r="K7" t="s">
        <v>10</v>
      </c>
      <c r="L7">
        <f>E8</f>
        <v>86.469938326967153</v>
      </c>
    </row>
    <row r="8" spans="1:12" x14ac:dyDescent="0.25">
      <c r="A8" t="s">
        <v>17</v>
      </c>
      <c r="B8">
        <v>2.1766666666666663</v>
      </c>
      <c r="D8" t="s">
        <v>22</v>
      </c>
      <c r="E8">
        <f>B2*L2/100</f>
        <v>86.469938326967153</v>
      </c>
      <c r="F8">
        <f>B2*L3/100</f>
        <v>11.838736590647024</v>
      </c>
      <c r="G8">
        <f>B2*L4/100</f>
        <v>0.40521505732072072</v>
      </c>
      <c r="K8" t="s">
        <v>11</v>
      </c>
      <c r="L8">
        <f>F8+E9</f>
        <v>12.157328507538283</v>
      </c>
    </row>
    <row r="9" spans="1:12" x14ac:dyDescent="0.25">
      <c r="A9" t="s">
        <v>20</v>
      </c>
      <c r="B9">
        <v>4.13</v>
      </c>
      <c r="D9" t="s">
        <v>23</v>
      </c>
      <c r="E9">
        <f>B3*L2/100</f>
        <v>0.31859191689125937</v>
      </c>
      <c r="F9">
        <f>B3*L3/100</f>
        <v>4.3618925339381789E-2</v>
      </c>
      <c r="G9">
        <f>B3*L4/100</f>
        <v>1.4929840862942818E-3</v>
      </c>
      <c r="K9" t="s">
        <v>12</v>
      </c>
      <c r="L9">
        <f>G8+F9+E10</f>
        <v>1.3432296400744599</v>
      </c>
    </row>
    <row r="10" spans="1:12" x14ac:dyDescent="0.25">
      <c r="A10" t="s">
        <v>18</v>
      </c>
      <c r="B10">
        <v>1.29</v>
      </c>
      <c r="D10" t="s">
        <v>24</v>
      </c>
      <c r="E10">
        <f>B4*L2/100</f>
        <v>0.89439565741435734</v>
      </c>
      <c r="F10">
        <f>B4*L3/100</f>
        <v>0.12245312996418478</v>
      </c>
      <c r="G10">
        <f>B4*L4/100</f>
        <v>4.1913131268365286E-3</v>
      </c>
      <c r="K10" t="s">
        <v>13</v>
      </c>
      <c r="L10">
        <f>G9+F10</f>
        <v>0.12394611405047906</v>
      </c>
    </row>
    <row r="11" spans="1:12" x14ac:dyDescent="0.25">
      <c r="A11" t="s">
        <v>21</v>
      </c>
      <c r="B11">
        <v>0</v>
      </c>
      <c r="K11" t="s">
        <v>14</v>
      </c>
      <c r="L11">
        <f>G10</f>
        <v>4.1913131268365286E-3</v>
      </c>
    </row>
    <row r="12" spans="1:12" x14ac:dyDescent="0.25">
      <c r="A12" t="s">
        <v>19</v>
      </c>
      <c r="B12">
        <v>0</v>
      </c>
    </row>
    <row r="13" spans="1:12" x14ac:dyDescent="0.25">
      <c r="D13" t="s">
        <v>15</v>
      </c>
      <c r="K13" t="s">
        <v>25</v>
      </c>
    </row>
    <row r="14" spans="1:12" x14ac:dyDescent="0.25">
      <c r="E14" t="s">
        <v>10</v>
      </c>
      <c r="F14" t="s">
        <v>11</v>
      </c>
      <c r="G14" t="s">
        <v>12</v>
      </c>
      <c r="H14" t="s">
        <v>13</v>
      </c>
      <c r="I14" t="s">
        <v>14</v>
      </c>
      <c r="K14" t="s">
        <v>26</v>
      </c>
      <c r="L14">
        <f>E15</f>
        <v>79.901105345395209</v>
      </c>
    </row>
    <row r="15" spans="1:12" x14ac:dyDescent="0.25">
      <c r="D15" t="s">
        <v>16</v>
      </c>
      <c r="E15">
        <f>B7*L7/100</f>
        <v>79.901105345395209</v>
      </c>
      <c r="F15">
        <f>B7*L8/100</f>
        <v>11.233776785248956</v>
      </c>
      <c r="G15">
        <f>B7*L9/100</f>
        <v>1.2411889617501366</v>
      </c>
      <c r="H15">
        <f>B7*L10/100</f>
        <v>0.11453034091977765</v>
      </c>
      <c r="I15">
        <f>B7*L11/100</f>
        <v>3.8729130396345131E-3</v>
      </c>
      <c r="K15" t="s">
        <v>27</v>
      </c>
      <c r="L15">
        <f>E16+F15</f>
        <v>13.115939109499275</v>
      </c>
    </row>
    <row r="16" spans="1:12" x14ac:dyDescent="0.25">
      <c r="D16" t="s">
        <v>17</v>
      </c>
      <c r="E16">
        <f>B8*L7/100</f>
        <v>1.8821623242503178</v>
      </c>
      <c r="F16">
        <f>B8*L8/100</f>
        <v>0.26462451718074992</v>
      </c>
      <c r="G16">
        <f>B8*L9/100</f>
        <v>2.9237631832287406E-2</v>
      </c>
      <c r="H16">
        <f>B8*L10/100</f>
        <v>2.697893749165427E-3</v>
      </c>
      <c r="I16">
        <f>B8*L11/100</f>
        <v>9.1230915727475096E-5</v>
      </c>
      <c r="K16" t="s">
        <v>28</v>
      </c>
      <c r="L16">
        <f>E17+F16+G15</f>
        <v>5.0770219318346292</v>
      </c>
    </row>
    <row r="17" spans="4:12" x14ac:dyDescent="0.25">
      <c r="D17" t="s">
        <v>20</v>
      </c>
      <c r="E17">
        <f>B9*L7/100</f>
        <v>3.5712084529037433</v>
      </c>
      <c r="F17">
        <f>B9*L8/100</f>
        <v>0.5020976673613311</v>
      </c>
      <c r="G17">
        <f>B9*L9/100</f>
        <v>5.547538413507519E-2</v>
      </c>
      <c r="H17">
        <f>B9*L10/100</f>
        <v>5.118974510284785E-3</v>
      </c>
      <c r="I17">
        <f>B9*L11/100</f>
        <v>1.7310123213834863E-4</v>
      </c>
      <c r="K17" t="s">
        <v>29</v>
      </c>
      <c r="L17">
        <f>E18+F17+G16+H15</f>
        <v>1.7613278445312726</v>
      </c>
    </row>
    <row r="18" spans="4:12" x14ac:dyDescent="0.25">
      <c r="D18" t="s">
        <v>18</v>
      </c>
      <c r="E18">
        <f>B10*L7/100</f>
        <v>1.1154622044178764</v>
      </c>
      <c r="F18">
        <f>B10*L8/100</f>
        <v>0.15682953774724384</v>
      </c>
      <c r="G18">
        <f>B10*L9/100</f>
        <v>1.7327662356960535E-2</v>
      </c>
      <c r="H18">
        <f>B10*L10/100</f>
        <v>1.5989048712511799E-3</v>
      </c>
      <c r="I18">
        <f>B10*L11/100</f>
        <v>5.4067939336191223E-5</v>
      </c>
      <c r="K18" t="s">
        <v>30</v>
      </c>
      <c r="L18">
        <f>E19+F18+G17+H16+I15</f>
        <v>0.21887572867111899</v>
      </c>
    </row>
    <row r="19" spans="4:12" x14ac:dyDescent="0.25">
      <c r="D19" t="s">
        <v>21</v>
      </c>
      <c r="E19">
        <f>B11*L7/100</f>
        <v>0</v>
      </c>
      <c r="F19">
        <f>B11*L8/100</f>
        <v>0</v>
      </c>
      <c r="G19">
        <f>B11*L9/100</f>
        <v>0</v>
      </c>
      <c r="H19">
        <f>B11*L10/100</f>
        <v>0</v>
      </c>
      <c r="I19">
        <f>B11*L11/100</f>
        <v>0</v>
      </c>
      <c r="K19" t="s">
        <v>31</v>
      </c>
      <c r="L19">
        <f>E20+F19+G18+H17+I16</f>
        <v>2.2537867782972794E-2</v>
      </c>
    </row>
    <row r="20" spans="4:12" x14ac:dyDescent="0.25">
      <c r="D20" t="s">
        <v>19</v>
      </c>
      <c r="E20">
        <f>B12*L7/100</f>
        <v>0</v>
      </c>
      <c r="F20">
        <f>B12*L8/100</f>
        <v>0</v>
      </c>
      <c r="G20">
        <f>B12*L9/100</f>
        <v>0</v>
      </c>
      <c r="H20">
        <f>B12*L10/100</f>
        <v>0</v>
      </c>
      <c r="I20">
        <f>B12*L11/100</f>
        <v>0</v>
      </c>
      <c r="K20" t="s">
        <v>32</v>
      </c>
      <c r="L20">
        <f>F20+G19+H18+I17</f>
        <v>1.7720061033895285E-3</v>
      </c>
    </row>
    <row r="21" spans="4:12" x14ac:dyDescent="0.25">
      <c r="K21" t="s">
        <v>33</v>
      </c>
      <c r="L21">
        <f>G20+H19+I18</f>
        <v>5.4067939336191223E-5</v>
      </c>
    </row>
    <row r="22" spans="4:12" x14ac:dyDescent="0.25">
      <c r="K22" t="s">
        <v>34</v>
      </c>
      <c r="L22">
        <f>H20+I19</f>
        <v>0</v>
      </c>
    </row>
    <row r="23" spans="4:12" x14ac:dyDescent="0.25">
      <c r="K23" t="s">
        <v>35</v>
      </c>
      <c r="L23">
        <f>I20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3"/>
  <sheetViews>
    <sheetView workbookViewId="0">
      <selection activeCell="D1" sqref="D1:O26"/>
    </sheetView>
  </sheetViews>
  <sheetFormatPr defaultRowHeight="15" x14ac:dyDescent="0.25"/>
  <cols>
    <col min="1" max="1" width="9.85546875" bestFit="1" customWidth="1"/>
    <col min="2" max="2" width="26.42578125" bestFit="1" customWidth="1"/>
    <col min="5" max="9" width="15.140625" bestFit="1" customWidth="1"/>
    <col min="10" max="10" width="12.140625" customWidth="1"/>
    <col min="11" max="11" width="19.28515625" customWidth="1"/>
  </cols>
  <sheetData>
    <row r="1" spans="1:12" x14ac:dyDescent="0.25">
      <c r="A1" t="s">
        <v>0</v>
      </c>
      <c r="B1" s="1" t="s">
        <v>36</v>
      </c>
      <c r="D1" t="s">
        <v>1</v>
      </c>
      <c r="K1" t="s">
        <v>2</v>
      </c>
    </row>
    <row r="2" spans="1:12" x14ac:dyDescent="0.25">
      <c r="A2" t="s">
        <v>22</v>
      </c>
      <c r="B2">
        <v>98.926666670000003</v>
      </c>
      <c r="E2" t="s">
        <v>7</v>
      </c>
      <c r="F2" t="s">
        <v>8</v>
      </c>
      <c r="K2" t="s">
        <v>4</v>
      </c>
      <c r="L2">
        <f>E3</f>
        <v>73.984212890568728</v>
      </c>
    </row>
    <row r="3" spans="1:12" x14ac:dyDescent="0.25">
      <c r="A3" t="s">
        <v>23</v>
      </c>
      <c r="B3">
        <v>0.75666666699999996</v>
      </c>
      <c r="D3" t="s">
        <v>7</v>
      </c>
      <c r="E3">
        <f>B5*B5/100</f>
        <v>73.984212890568728</v>
      </c>
      <c r="F3">
        <f>B5*B6/100</f>
        <v>12.026016592534965</v>
      </c>
      <c r="K3" t="s">
        <v>5</v>
      </c>
      <c r="L3">
        <f>F3+E4</f>
        <v>24.052033185069931</v>
      </c>
    </row>
    <row r="4" spans="1:12" x14ac:dyDescent="0.25">
      <c r="A4" t="s">
        <v>24</v>
      </c>
      <c r="B4">
        <v>0.31666666700000001</v>
      </c>
      <c r="D4" t="s">
        <v>8</v>
      </c>
      <c r="E4">
        <f>B6*B5/100</f>
        <v>12.026016592534965</v>
      </c>
      <c r="F4">
        <f>B6*B6/100</f>
        <v>1.9548099443572327</v>
      </c>
      <c r="K4" t="s">
        <v>6</v>
      </c>
      <c r="L4">
        <f>F4</f>
        <v>1.9548099443572327</v>
      </c>
    </row>
    <row r="5" spans="1:12" x14ac:dyDescent="0.25">
      <c r="A5" t="s">
        <v>7</v>
      </c>
      <c r="B5">
        <v>86.014076110000005</v>
      </c>
    </row>
    <row r="6" spans="1:12" x14ac:dyDescent="0.25">
      <c r="A6" t="s">
        <v>8</v>
      </c>
      <c r="B6">
        <v>13.9814518</v>
      </c>
      <c r="D6" t="s">
        <v>3</v>
      </c>
      <c r="K6" t="s">
        <v>9</v>
      </c>
    </row>
    <row r="7" spans="1:12" x14ac:dyDescent="0.25">
      <c r="A7" t="s">
        <v>16</v>
      </c>
      <c r="B7">
        <v>82.03</v>
      </c>
      <c r="E7" t="s">
        <v>4</v>
      </c>
      <c r="F7" t="s">
        <v>5</v>
      </c>
      <c r="G7" t="s">
        <v>6</v>
      </c>
      <c r="K7" t="s">
        <v>10</v>
      </c>
      <c r="L7">
        <f>E8</f>
        <v>73.190115674676093</v>
      </c>
    </row>
    <row r="8" spans="1:12" x14ac:dyDescent="0.25">
      <c r="A8" t="s">
        <v>17</v>
      </c>
      <c r="B8">
        <v>4.9766666666666666</v>
      </c>
      <c r="D8" t="s">
        <v>22</v>
      </c>
      <c r="E8">
        <f>B2*L2/100</f>
        <v>73.190115674676093</v>
      </c>
      <c r="F8">
        <f>B2*L3/100</f>
        <v>23.793874696351914</v>
      </c>
      <c r="G8">
        <f>B2*L4/100</f>
        <v>1.9338283176862923</v>
      </c>
      <c r="K8" t="s">
        <v>11</v>
      </c>
      <c r="L8">
        <f>F8+E9</f>
        <v>24.353688574137163</v>
      </c>
    </row>
    <row r="9" spans="1:12" x14ac:dyDescent="0.25">
      <c r="A9" t="s">
        <v>20</v>
      </c>
      <c r="B9">
        <v>5.6833333333333336</v>
      </c>
      <c r="D9" t="s">
        <v>23</v>
      </c>
      <c r="E9">
        <f>B3*L2/100</f>
        <v>0.55981387778525071</v>
      </c>
      <c r="F9">
        <f>B3*L3/100</f>
        <v>0.18199371784720256</v>
      </c>
      <c r="G9">
        <f>B3*L4/100</f>
        <v>1.4791395252152426E-2</v>
      </c>
      <c r="K9" t="s">
        <v>12</v>
      </c>
      <c r="L9">
        <f>G8+F9+E10</f>
        <v>2.3501053766002431</v>
      </c>
    </row>
    <row r="10" spans="1:12" x14ac:dyDescent="0.25">
      <c r="A10" t="s">
        <v>18</v>
      </c>
      <c r="B10">
        <v>6.9933333333333332</v>
      </c>
      <c r="D10" t="s">
        <v>24</v>
      </c>
      <c r="E10">
        <f>B4*L2/100</f>
        <v>0.23428334106674836</v>
      </c>
      <c r="F10">
        <f>B4*L3/100</f>
        <v>7.6164771832894884E-2</v>
      </c>
      <c r="G10">
        <f>B4*L4/100</f>
        <v>6.1902314969806034E-3</v>
      </c>
      <c r="K10" t="s">
        <v>13</v>
      </c>
      <c r="L10">
        <f>G9+F10</f>
        <v>9.0956167085047307E-2</v>
      </c>
    </row>
    <row r="11" spans="1:12" x14ac:dyDescent="0.25">
      <c r="A11" t="s">
        <v>21</v>
      </c>
      <c r="B11">
        <v>0.3133333333333333</v>
      </c>
      <c r="K11" t="s">
        <v>14</v>
      </c>
      <c r="L11">
        <f>G10</f>
        <v>6.1902314969806034E-3</v>
      </c>
    </row>
    <row r="12" spans="1:12" x14ac:dyDescent="0.25">
      <c r="A12" t="s">
        <v>19</v>
      </c>
      <c r="B12">
        <v>0</v>
      </c>
    </row>
    <row r="13" spans="1:12" x14ac:dyDescent="0.25">
      <c r="D13" t="s">
        <v>15</v>
      </c>
      <c r="K13" t="s">
        <v>25</v>
      </c>
    </row>
    <row r="14" spans="1:12" x14ac:dyDescent="0.25">
      <c r="E14" t="s">
        <v>10</v>
      </c>
      <c r="F14" t="s">
        <v>11</v>
      </c>
      <c r="G14" t="s">
        <v>12</v>
      </c>
      <c r="H14" t="s">
        <v>13</v>
      </c>
      <c r="I14" t="s">
        <v>14</v>
      </c>
      <c r="K14" t="s">
        <v>26</v>
      </c>
      <c r="L14">
        <f>E15</f>
        <v>60.037851887936803</v>
      </c>
    </row>
    <row r="15" spans="1:12" x14ac:dyDescent="0.25">
      <c r="D15" t="s">
        <v>16</v>
      </c>
      <c r="E15">
        <f>B7*L7/100</f>
        <v>60.037851887936803</v>
      </c>
      <c r="F15">
        <f>B7*L8/100</f>
        <v>19.977330737364714</v>
      </c>
      <c r="G15">
        <f>B7*L9/100</f>
        <v>1.9277914404251795</v>
      </c>
      <c r="H15">
        <f>B7*L10/100</f>
        <v>7.4611343859864301E-2</v>
      </c>
      <c r="I15">
        <f>B7*L11/100</f>
        <v>5.0778468969731897E-3</v>
      </c>
      <c r="K15" t="s">
        <v>27</v>
      </c>
      <c r="L15">
        <f>E16+F15</f>
        <v>23.619758827441093</v>
      </c>
    </row>
    <row r="16" spans="1:12" x14ac:dyDescent="0.25">
      <c r="D16" t="s">
        <v>17</v>
      </c>
      <c r="E16">
        <f>B8*L7/100</f>
        <v>3.6424280900763804</v>
      </c>
      <c r="F16">
        <f>B8*L8/100</f>
        <v>1.2120019013728929</v>
      </c>
      <c r="G16">
        <f>B8*L9/100</f>
        <v>0.11695691090880542</v>
      </c>
      <c r="H16">
        <f>B8*L10/100</f>
        <v>4.5265852485991877E-3</v>
      </c>
      <c r="I16">
        <f>B8*L11/100</f>
        <v>3.0806718749973468E-4</v>
      </c>
      <c r="K16" t="s">
        <v>28</v>
      </c>
      <c r="L16">
        <f>E17+F16+G15</f>
        <v>7.2994315826421641</v>
      </c>
    </row>
    <row r="17" spans="4:12" x14ac:dyDescent="0.25">
      <c r="D17" t="s">
        <v>20</v>
      </c>
      <c r="E17">
        <f>B9*L7/100</f>
        <v>4.1596382408440915</v>
      </c>
      <c r="F17">
        <f>B9*L8/100</f>
        <v>1.3841013006301288</v>
      </c>
      <c r="G17">
        <f>B9*L9/100</f>
        <v>0.1335643222367805</v>
      </c>
      <c r="H17">
        <f>B9*L10/100</f>
        <v>5.1693421626668561E-3</v>
      </c>
      <c r="I17">
        <f>B9*L11/100</f>
        <v>3.5181149007839767E-4</v>
      </c>
      <c r="K17" t="s">
        <v>29</v>
      </c>
      <c r="L17">
        <f>E18+F17+G16+H15</f>
        <v>6.694098311581147</v>
      </c>
    </row>
    <row r="18" spans="4:12" x14ac:dyDescent="0.25">
      <c r="D18" t="s">
        <v>18</v>
      </c>
      <c r="E18">
        <f>B10*L7/100</f>
        <v>5.1184287561823485</v>
      </c>
      <c r="F18">
        <f>B10*L8/100</f>
        <v>1.7031346209513256</v>
      </c>
      <c r="G18">
        <f>B10*L9/100</f>
        <v>0.16435070267024365</v>
      </c>
      <c r="H18">
        <f>B10*L10/100</f>
        <v>6.3608679514809748E-3</v>
      </c>
      <c r="I18">
        <f>B10*L11/100</f>
        <v>4.3290352268884349E-4</v>
      </c>
      <c r="K18" t="s">
        <v>30</v>
      </c>
      <c r="L18">
        <f>E19+F18+G17+H16+I15</f>
        <v>2.0756324044476635</v>
      </c>
    </row>
    <row r="19" spans="4:12" x14ac:dyDescent="0.25">
      <c r="D19" t="s">
        <v>21</v>
      </c>
      <c r="E19">
        <f>B11*L7/100</f>
        <v>0.22932902911398506</v>
      </c>
      <c r="F19">
        <f>B11*L8/100</f>
        <v>7.6308224198963104E-2</v>
      </c>
      <c r="G19">
        <f>B11*L9/100</f>
        <v>7.3636635133474274E-3</v>
      </c>
      <c r="H19">
        <f>B11*L10/100</f>
        <v>2.8499599019981485E-4</v>
      </c>
      <c r="I19">
        <f>B11*L11/100</f>
        <v>1.9396058690539223E-5</v>
      </c>
      <c r="K19" t="s">
        <v>31</v>
      </c>
      <c r="L19">
        <f>E20+F19+G18+H17+I16</f>
        <v>0.24613633621937334</v>
      </c>
    </row>
    <row r="20" spans="4:12" x14ac:dyDescent="0.25">
      <c r="D20" t="s">
        <v>19</v>
      </c>
      <c r="E20">
        <f>B12*L7/100</f>
        <v>0</v>
      </c>
      <c r="F20">
        <f>B12*L8/100</f>
        <v>0</v>
      </c>
      <c r="G20">
        <f>B12*L9/100</f>
        <v>0</v>
      </c>
      <c r="H20">
        <f>B12*L10/100</f>
        <v>0</v>
      </c>
      <c r="I20">
        <f>B12*L11/100</f>
        <v>0</v>
      </c>
      <c r="K20" t="s">
        <v>32</v>
      </c>
      <c r="L20">
        <f>F20+G19+H18+I17</f>
        <v>1.4076342954906802E-2</v>
      </c>
    </row>
    <row r="21" spans="4:12" x14ac:dyDescent="0.25">
      <c r="K21" t="s">
        <v>33</v>
      </c>
      <c r="L21">
        <f>G20+H19+I18</f>
        <v>7.1789951288865833E-4</v>
      </c>
    </row>
    <row r="22" spans="4:12" x14ac:dyDescent="0.25">
      <c r="K22" t="s">
        <v>34</v>
      </c>
      <c r="L22">
        <f>H20+I19</f>
        <v>1.9396058690539223E-5</v>
      </c>
    </row>
    <row r="23" spans="4:12" x14ac:dyDescent="0.25">
      <c r="K23" t="s">
        <v>35</v>
      </c>
      <c r="L23">
        <f>I20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EA124-958E-4418-8482-C413564FAA85}">
  <dimension ref="A1:L23"/>
  <sheetViews>
    <sheetView workbookViewId="0">
      <selection activeCell="D1" sqref="D1:O25"/>
    </sheetView>
  </sheetViews>
  <sheetFormatPr defaultRowHeight="15" x14ac:dyDescent="0.25"/>
  <cols>
    <col min="1" max="1" width="9.85546875" bestFit="1" customWidth="1"/>
    <col min="2" max="2" width="26.42578125" bestFit="1" customWidth="1"/>
    <col min="5" max="9" width="15.140625" bestFit="1" customWidth="1"/>
    <col min="10" max="10" width="12.140625" customWidth="1"/>
    <col min="11" max="11" width="20" customWidth="1"/>
  </cols>
  <sheetData>
    <row r="1" spans="1:12" x14ac:dyDescent="0.25">
      <c r="A1" t="s">
        <v>0</v>
      </c>
      <c r="B1" s="1" t="s">
        <v>36</v>
      </c>
      <c r="D1" t="s">
        <v>1</v>
      </c>
      <c r="K1" t="s">
        <v>2</v>
      </c>
    </row>
    <row r="2" spans="1:12" x14ac:dyDescent="0.25">
      <c r="A2" t="s">
        <v>22</v>
      </c>
      <c r="B2">
        <v>99.303333330000001</v>
      </c>
      <c r="E2" t="s">
        <v>7</v>
      </c>
      <c r="F2" t="s">
        <v>8</v>
      </c>
      <c r="K2" t="s">
        <v>4</v>
      </c>
      <c r="L2">
        <f>E3</f>
        <v>78.709980877446384</v>
      </c>
    </row>
    <row r="3" spans="1:12" x14ac:dyDescent="0.25">
      <c r="A3" t="s">
        <v>23</v>
      </c>
      <c r="B3">
        <v>0.443333333</v>
      </c>
      <c r="D3" t="s">
        <v>7</v>
      </c>
      <c r="E3">
        <f>B5*B5/100</f>
        <v>78.709980877446384</v>
      </c>
      <c r="F3">
        <f>B5*B6/100</f>
        <v>10.156061984812478</v>
      </c>
      <c r="K3" t="s">
        <v>5</v>
      </c>
      <c r="L3">
        <f>F3+E4</f>
        <v>20.312123969624956</v>
      </c>
    </row>
    <row r="4" spans="1:12" x14ac:dyDescent="0.25">
      <c r="A4" t="s">
        <v>24</v>
      </c>
      <c r="B4">
        <v>0.25333333299999999</v>
      </c>
      <c r="D4" t="s">
        <v>8</v>
      </c>
      <c r="E4">
        <f>B6*B5/100</f>
        <v>10.156061984812478</v>
      </c>
      <c r="F4">
        <f>B6*B6/100</f>
        <v>1.3104512780908146</v>
      </c>
      <c r="K4" t="s">
        <v>6</v>
      </c>
      <c r="L4">
        <f>F4</f>
        <v>1.3104512780908146</v>
      </c>
    </row>
    <row r="5" spans="1:12" x14ac:dyDescent="0.25">
      <c r="A5" t="s">
        <v>7</v>
      </c>
      <c r="B5">
        <v>88.718645660000007</v>
      </c>
    </row>
    <row r="6" spans="1:12" x14ac:dyDescent="0.25">
      <c r="A6" t="s">
        <v>8</v>
      </c>
      <c r="B6">
        <v>11.447494389999999</v>
      </c>
      <c r="D6" t="s">
        <v>3</v>
      </c>
      <c r="K6" t="s">
        <v>9</v>
      </c>
    </row>
    <row r="7" spans="1:12" x14ac:dyDescent="0.25">
      <c r="A7" t="s">
        <v>16</v>
      </c>
      <c r="B7">
        <v>83.589999999999989</v>
      </c>
      <c r="E7" t="s">
        <v>4</v>
      </c>
      <c r="F7" t="s">
        <v>5</v>
      </c>
      <c r="G7" t="s">
        <v>6</v>
      </c>
      <c r="K7" t="s">
        <v>10</v>
      </c>
      <c r="L7">
        <f>E8</f>
        <v>78.161634674709845</v>
      </c>
    </row>
    <row r="8" spans="1:12" x14ac:dyDescent="0.25">
      <c r="A8" t="s">
        <v>17</v>
      </c>
      <c r="B8">
        <v>2.9299999999999997</v>
      </c>
      <c r="D8" t="s">
        <v>22</v>
      </c>
      <c r="E8">
        <f>B2*L2/100</f>
        <v>78.161634674709845</v>
      </c>
      <c r="F8">
        <f>B2*L3/100</f>
        <v>20.170616171959498</v>
      </c>
      <c r="G8">
        <f>B2*L4/100</f>
        <v>1.3013218008097669</v>
      </c>
      <c r="K8" t="s">
        <v>11</v>
      </c>
      <c r="L8">
        <f>F8+E9</f>
        <v>20.519563753587143</v>
      </c>
    </row>
    <row r="9" spans="1:12" x14ac:dyDescent="0.25">
      <c r="A9" t="s">
        <v>20</v>
      </c>
      <c r="B9">
        <v>2.9133333333333336</v>
      </c>
      <c r="D9" t="s">
        <v>23</v>
      </c>
      <c r="E9">
        <f>B3*L2/100</f>
        <v>0.34894758162764566</v>
      </c>
      <c r="F9">
        <f>B3*L3/100</f>
        <v>9.0050416197630212E-2</v>
      </c>
      <c r="G9">
        <f>B3*L4/100</f>
        <v>5.8096673285011067E-3</v>
      </c>
      <c r="K9" t="s">
        <v>12</v>
      </c>
      <c r="L9">
        <f>G8+F9+E10</f>
        <v>1.5907708349678946</v>
      </c>
    </row>
    <row r="10" spans="1:12" x14ac:dyDescent="0.25">
      <c r="A10" t="s">
        <v>18</v>
      </c>
      <c r="B10">
        <v>9.1866666666666656</v>
      </c>
      <c r="D10" t="s">
        <v>24</v>
      </c>
      <c r="E10">
        <f>B4*L2/100</f>
        <v>0.19939861796049757</v>
      </c>
      <c r="F10">
        <f>B4*L3/100</f>
        <v>5.1457380655342805E-2</v>
      </c>
      <c r="G10">
        <f>B4*L4/100</f>
        <v>3.3198099001285593E-3</v>
      </c>
      <c r="K10" t="s">
        <v>13</v>
      </c>
      <c r="L10">
        <f>G9+F10</f>
        <v>5.7267047983843911E-2</v>
      </c>
    </row>
    <row r="11" spans="1:12" x14ac:dyDescent="0.25">
      <c r="A11" t="s">
        <v>21</v>
      </c>
      <c r="B11">
        <v>0</v>
      </c>
      <c r="K11" t="s">
        <v>14</v>
      </c>
      <c r="L11">
        <f>G10</f>
        <v>3.3198099001285593E-3</v>
      </c>
    </row>
    <row r="12" spans="1:12" x14ac:dyDescent="0.25">
      <c r="A12" t="s">
        <v>19</v>
      </c>
      <c r="B12">
        <v>1.3833333333333335</v>
      </c>
    </row>
    <row r="13" spans="1:12" x14ac:dyDescent="0.25">
      <c r="D13" t="s">
        <v>15</v>
      </c>
      <c r="K13" t="s">
        <v>25</v>
      </c>
    </row>
    <row r="14" spans="1:12" x14ac:dyDescent="0.25">
      <c r="E14" t="s">
        <v>10</v>
      </c>
      <c r="F14" t="s">
        <v>11</v>
      </c>
      <c r="G14" t="s">
        <v>12</v>
      </c>
      <c r="H14" t="s">
        <v>13</v>
      </c>
      <c r="I14" t="s">
        <v>14</v>
      </c>
      <c r="K14" t="s">
        <v>26</v>
      </c>
      <c r="L14">
        <f>E15</f>
        <v>65.335310424589949</v>
      </c>
    </row>
    <row r="15" spans="1:12" x14ac:dyDescent="0.25">
      <c r="D15" t="s">
        <v>16</v>
      </c>
      <c r="E15">
        <f>B7*L7/100</f>
        <v>65.335310424589949</v>
      </c>
      <c r="F15">
        <f>B7*L8/100</f>
        <v>17.15230334162349</v>
      </c>
      <c r="G15">
        <f>B7*L9/100</f>
        <v>1.329725340949663</v>
      </c>
      <c r="H15">
        <f>B7*L10/100</f>
        <v>4.7869525409695121E-2</v>
      </c>
      <c r="I15">
        <f>B7*L11/100</f>
        <v>2.775029095517462E-3</v>
      </c>
      <c r="K15" t="s">
        <v>27</v>
      </c>
      <c r="L15">
        <f>E16+F15</f>
        <v>19.442439237592488</v>
      </c>
    </row>
    <row r="16" spans="1:12" x14ac:dyDescent="0.25">
      <c r="D16" t="s">
        <v>17</v>
      </c>
      <c r="E16">
        <f>B8*L7/100</f>
        <v>2.2901358959689984</v>
      </c>
      <c r="F16">
        <f>B8*L8/100</f>
        <v>0.60122321798010325</v>
      </c>
      <c r="G16">
        <f>B8*L9/100</f>
        <v>4.660958546455931E-2</v>
      </c>
      <c r="H16">
        <f>B8*L10/100</f>
        <v>1.6779245059266265E-3</v>
      </c>
      <c r="I16">
        <f>B8*L11/100</f>
        <v>9.7270430073766783E-5</v>
      </c>
      <c r="K16" t="s">
        <v>28</v>
      </c>
      <c r="L16">
        <f>E17+F16+G15</f>
        <v>4.2080575157863134</v>
      </c>
    </row>
    <row r="17" spans="4:12" x14ac:dyDescent="0.25">
      <c r="D17" t="s">
        <v>20</v>
      </c>
      <c r="E17">
        <f>B9*L7/100</f>
        <v>2.277108956856547</v>
      </c>
      <c r="F17">
        <f>B9*L8/100</f>
        <v>0.59780329068783877</v>
      </c>
      <c r="G17">
        <f>B9*L9/100</f>
        <v>4.6344456992064666E-2</v>
      </c>
      <c r="H17">
        <f>B9*L10/100</f>
        <v>1.6683799979293193E-3</v>
      </c>
      <c r="I17">
        <f>B9*L11/100</f>
        <v>9.6717128423745368E-5</v>
      </c>
      <c r="K17" t="s">
        <v>29</v>
      </c>
      <c r="L17">
        <f>E18+F17+G16+H15</f>
        <v>7.8727312403454377</v>
      </c>
    </row>
    <row r="18" spans="4:12" x14ac:dyDescent="0.25">
      <c r="D18" t="s">
        <v>18</v>
      </c>
      <c r="E18">
        <f>B10*L7/100</f>
        <v>7.1804488387833443</v>
      </c>
      <c r="F18">
        <f>B10*L8/100</f>
        <v>1.8850639234962054</v>
      </c>
      <c r="G18">
        <f>B10*L9/100</f>
        <v>0.14613881403905057</v>
      </c>
      <c r="H18">
        <f>B10*L10/100</f>
        <v>5.2609328081157933E-3</v>
      </c>
      <c r="I18">
        <f>B10*L11/100</f>
        <v>3.0497986949181029E-4</v>
      </c>
      <c r="K18" t="s">
        <v>30</v>
      </c>
      <c r="L18">
        <f>E19+F18+G17+H16+I15</f>
        <v>1.9358613340897142</v>
      </c>
    </row>
    <row r="19" spans="4:12" x14ac:dyDescent="0.25">
      <c r="D19" t="s">
        <v>21</v>
      </c>
      <c r="E19">
        <f>B11*L7/100</f>
        <v>0</v>
      </c>
      <c r="F19">
        <f>B11*L8/100</f>
        <v>0</v>
      </c>
      <c r="G19">
        <f>B11*L9/100</f>
        <v>0</v>
      </c>
      <c r="H19">
        <f>B11*L10/100</f>
        <v>0</v>
      </c>
      <c r="I19">
        <f>B11*L11/100</f>
        <v>0</v>
      </c>
      <c r="K19" t="s">
        <v>31</v>
      </c>
      <c r="L19">
        <f>E20+F19+G18+H17+I16</f>
        <v>1.2291404108005399</v>
      </c>
    </row>
    <row r="20" spans="4:12" x14ac:dyDescent="0.25">
      <c r="D20" t="s">
        <v>19</v>
      </c>
      <c r="E20">
        <f>B12*L7/100</f>
        <v>1.0812359463334864</v>
      </c>
      <c r="F20">
        <f>B12*L8/100</f>
        <v>0.28385396525795553</v>
      </c>
      <c r="G20">
        <f>B12*L9/100</f>
        <v>2.2005663217055878E-2</v>
      </c>
      <c r="H20">
        <f>B12*L10/100</f>
        <v>7.9219416377650763E-4</v>
      </c>
      <c r="I20">
        <f>B12*L11/100</f>
        <v>4.5924036951778405E-5</v>
      </c>
      <c r="K20" t="s">
        <v>32</v>
      </c>
      <c r="L20">
        <f>F20+G19+H18+I17</f>
        <v>0.28921161519449506</v>
      </c>
    </row>
    <row r="21" spans="4:12" x14ac:dyDescent="0.25">
      <c r="K21" t="s">
        <v>33</v>
      </c>
      <c r="L21">
        <f>G20+H19+I18</f>
        <v>2.2310643086547687E-2</v>
      </c>
    </row>
    <row r="22" spans="4:12" x14ac:dyDescent="0.25">
      <c r="K22" t="s">
        <v>34</v>
      </c>
      <c r="L22">
        <f>H20+I19</f>
        <v>7.9219416377650763E-4</v>
      </c>
    </row>
    <row r="23" spans="4:12" x14ac:dyDescent="0.25">
      <c r="K23" t="s">
        <v>35</v>
      </c>
      <c r="L23">
        <f>I20</f>
        <v>4.5924036951778405E-5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E05AF-BAF8-4B31-9E10-E78D9FF31571}">
  <dimension ref="A1:L23"/>
  <sheetViews>
    <sheetView workbookViewId="0">
      <selection activeCell="D1" sqref="D1:P24"/>
    </sheetView>
  </sheetViews>
  <sheetFormatPr defaultRowHeight="15" x14ac:dyDescent="0.25"/>
  <cols>
    <col min="1" max="1" width="9.85546875" bestFit="1" customWidth="1"/>
    <col min="2" max="2" width="26.42578125" bestFit="1" customWidth="1"/>
    <col min="5" max="9" width="15.140625" bestFit="1" customWidth="1"/>
    <col min="10" max="10" width="12.140625" customWidth="1"/>
    <col min="11" max="11" width="20.5703125" customWidth="1"/>
  </cols>
  <sheetData>
    <row r="1" spans="1:12" x14ac:dyDescent="0.25">
      <c r="A1" t="s">
        <v>0</v>
      </c>
      <c r="B1" s="1" t="s">
        <v>36</v>
      </c>
      <c r="D1" t="s">
        <v>1</v>
      </c>
      <c r="K1" t="s">
        <v>2</v>
      </c>
    </row>
    <row r="2" spans="1:12" x14ac:dyDescent="0.25">
      <c r="A2" t="s">
        <v>22</v>
      </c>
      <c r="B2">
        <v>98.713333329999998</v>
      </c>
      <c r="E2" t="s">
        <v>7</v>
      </c>
      <c r="F2" t="s">
        <v>8</v>
      </c>
      <c r="K2" t="s">
        <v>4</v>
      </c>
      <c r="L2">
        <f>E3</f>
        <v>85.85275679603518</v>
      </c>
    </row>
    <row r="3" spans="1:12" x14ac:dyDescent="0.25">
      <c r="A3" t="s">
        <v>23</v>
      </c>
      <c r="B3">
        <v>0</v>
      </c>
      <c r="D3" t="s">
        <v>7</v>
      </c>
      <c r="E3">
        <f>B5*B5/100</f>
        <v>85.85275679603518</v>
      </c>
      <c r="F3">
        <f>B5*B6/100</f>
        <v>7.0119539971811022</v>
      </c>
      <c r="K3" t="s">
        <v>5</v>
      </c>
      <c r="L3">
        <f>F3+E4</f>
        <v>14.023907994362204</v>
      </c>
    </row>
    <row r="4" spans="1:12" x14ac:dyDescent="0.25">
      <c r="A4" t="s">
        <v>24</v>
      </c>
      <c r="B4">
        <v>1.286666667</v>
      </c>
      <c r="D4" t="s">
        <v>8</v>
      </c>
      <c r="E4">
        <f>B6*B5/100</f>
        <v>7.0119539971811022</v>
      </c>
      <c r="F4">
        <f>B6*B6/100</f>
        <v>0.57269563253971933</v>
      </c>
      <c r="K4" t="s">
        <v>6</v>
      </c>
      <c r="L4">
        <f>F4</f>
        <v>0.57269563253971933</v>
      </c>
    </row>
    <row r="5" spans="1:12" x14ac:dyDescent="0.25">
      <c r="A5" t="s">
        <v>7</v>
      </c>
      <c r="B5">
        <v>92.656762729999997</v>
      </c>
    </row>
    <row r="6" spans="1:12" x14ac:dyDescent="0.25">
      <c r="A6" t="s">
        <v>8</v>
      </c>
      <c r="B6">
        <v>7.5676656409999996</v>
      </c>
      <c r="D6" t="s">
        <v>3</v>
      </c>
      <c r="K6" t="s">
        <v>9</v>
      </c>
    </row>
    <row r="7" spans="1:12" x14ac:dyDescent="0.25">
      <c r="A7" t="s">
        <v>16</v>
      </c>
      <c r="B7">
        <v>78.500000000000014</v>
      </c>
      <c r="E7" t="s">
        <v>4</v>
      </c>
      <c r="F7" t="s">
        <v>5</v>
      </c>
      <c r="G7" t="s">
        <v>6</v>
      </c>
      <c r="K7" t="s">
        <v>10</v>
      </c>
      <c r="L7">
        <f>E8</f>
        <v>84.748117989064426</v>
      </c>
    </row>
    <row r="8" spans="1:12" x14ac:dyDescent="0.25">
      <c r="A8" t="s">
        <v>17</v>
      </c>
      <c r="B8">
        <v>4.253333333333333</v>
      </c>
      <c r="D8" t="s">
        <v>22</v>
      </c>
      <c r="E8">
        <f>B2*L2/100</f>
        <v>84.748117989064426</v>
      </c>
      <c r="F8">
        <f>B2*L3/100</f>
        <v>13.84346704436728</v>
      </c>
      <c r="G8">
        <f>B2*L4/100</f>
        <v>0.5653269487152851</v>
      </c>
      <c r="K8" t="s">
        <v>11</v>
      </c>
      <c r="L8">
        <f>F8+E9</f>
        <v>13.84346704436728</v>
      </c>
    </row>
    <row r="9" spans="1:12" x14ac:dyDescent="0.25">
      <c r="A9" t="s">
        <v>20</v>
      </c>
      <c r="B9">
        <v>8.32</v>
      </c>
      <c r="D9" t="s">
        <v>23</v>
      </c>
      <c r="E9">
        <f>B3*L2/100</f>
        <v>0</v>
      </c>
      <c r="F9">
        <f>B3*L3/100</f>
        <v>0</v>
      </c>
      <c r="G9">
        <f>B3*L4/100</f>
        <v>0</v>
      </c>
      <c r="K9" t="s">
        <v>12</v>
      </c>
      <c r="L9">
        <f>G8+F9+E10</f>
        <v>1.6699657531104468</v>
      </c>
    </row>
    <row r="10" spans="1:12" x14ac:dyDescent="0.25">
      <c r="A10" t="s">
        <v>18</v>
      </c>
      <c r="B10">
        <v>8.93</v>
      </c>
      <c r="D10" t="s">
        <v>24</v>
      </c>
      <c r="E10">
        <f>B4*L2/100</f>
        <v>1.1046388043951618</v>
      </c>
      <c r="F10">
        <f>B4*L3/100</f>
        <v>0.18044094957420673</v>
      </c>
      <c r="G10">
        <f>B4*L4/100</f>
        <v>7.3686838072533744E-3</v>
      </c>
      <c r="K10" t="s">
        <v>13</v>
      </c>
      <c r="L10">
        <f>G9+F10</f>
        <v>0.18044094957420673</v>
      </c>
    </row>
    <row r="11" spans="1:12" x14ac:dyDescent="0.25">
      <c r="A11" t="s">
        <v>21</v>
      </c>
      <c r="B11">
        <v>0</v>
      </c>
      <c r="K11" t="s">
        <v>14</v>
      </c>
      <c r="L11">
        <f>G10</f>
        <v>7.3686838072533744E-3</v>
      </c>
    </row>
    <row r="12" spans="1:12" x14ac:dyDescent="0.25">
      <c r="A12" t="s">
        <v>19</v>
      </c>
      <c r="B12">
        <v>0</v>
      </c>
    </row>
    <row r="13" spans="1:12" x14ac:dyDescent="0.25">
      <c r="D13" t="s">
        <v>15</v>
      </c>
      <c r="K13" t="s">
        <v>25</v>
      </c>
    </row>
    <row r="14" spans="1:12" x14ac:dyDescent="0.25">
      <c r="E14" t="s">
        <v>10</v>
      </c>
      <c r="F14" t="s">
        <v>11</v>
      </c>
      <c r="G14" t="s">
        <v>12</v>
      </c>
      <c r="H14" t="s">
        <v>13</v>
      </c>
      <c r="I14" t="s">
        <v>14</v>
      </c>
      <c r="K14" t="s">
        <v>26</v>
      </c>
      <c r="L14">
        <f>E15</f>
        <v>66.527272621415591</v>
      </c>
    </row>
    <row r="15" spans="1:12" x14ac:dyDescent="0.25">
      <c r="D15" t="s">
        <v>16</v>
      </c>
      <c r="E15">
        <f>B7*L7/100</f>
        <v>66.527272621415591</v>
      </c>
      <c r="F15">
        <f>B7*L8/100</f>
        <v>10.867121629828317</v>
      </c>
      <c r="G15">
        <f>B7*L9/100</f>
        <v>1.310923116191701</v>
      </c>
      <c r="H15">
        <f>B7*L10/100</f>
        <v>0.14164614541575232</v>
      </c>
      <c r="I15">
        <f>B7*L11/100</f>
        <v>5.7844167886938998E-3</v>
      </c>
      <c r="K15" t="s">
        <v>27</v>
      </c>
      <c r="L15">
        <f>E16+F15</f>
        <v>14.471741581629857</v>
      </c>
    </row>
    <row r="16" spans="1:12" x14ac:dyDescent="0.25">
      <c r="D16" t="s">
        <v>17</v>
      </c>
      <c r="E16">
        <f>B8*L7/100</f>
        <v>3.6046199518015403</v>
      </c>
      <c r="F16">
        <f>B8*L8/100</f>
        <v>0.58880879828708832</v>
      </c>
      <c r="G16">
        <f>B8*L9/100</f>
        <v>7.1029210032297674E-2</v>
      </c>
      <c r="H16">
        <f>B8*L10/100</f>
        <v>7.6747550552229262E-3</v>
      </c>
      <c r="I16">
        <f>B8*L11/100</f>
        <v>3.1341468460184345E-4</v>
      </c>
      <c r="K16" t="s">
        <v>28</v>
      </c>
      <c r="L16">
        <f>E17+F16+G15</f>
        <v>8.9507753311689502</v>
      </c>
    </row>
    <row r="17" spans="4:12" x14ac:dyDescent="0.25">
      <c r="D17" t="s">
        <v>20</v>
      </c>
      <c r="E17">
        <f>B9*L7/100</f>
        <v>7.0510434166901605</v>
      </c>
      <c r="F17">
        <f>B9*L8/100</f>
        <v>1.1517764580913576</v>
      </c>
      <c r="G17">
        <f>B9*L9/100</f>
        <v>0.13894115065878918</v>
      </c>
      <c r="H17">
        <f>B9*L10/100</f>
        <v>1.5012687004574001E-2</v>
      </c>
      <c r="I17">
        <f>B9*L11/100</f>
        <v>6.1307449276348075E-4</v>
      </c>
      <c r="K17" t="s">
        <v>29</v>
      </c>
      <c r="L17">
        <f>E18+F17+G16+H15</f>
        <v>8.9324587499628603</v>
      </c>
    </row>
    <row r="18" spans="4:12" x14ac:dyDescent="0.25">
      <c r="D18" t="s">
        <v>18</v>
      </c>
      <c r="E18">
        <f>B10*L7/100</f>
        <v>7.568006936423453</v>
      </c>
      <c r="F18">
        <f>B10*L8/100</f>
        <v>1.236221607061998</v>
      </c>
      <c r="G18">
        <f>B10*L9/100</f>
        <v>0.14912794175276289</v>
      </c>
      <c r="H18">
        <f>B10*L10/100</f>
        <v>1.611337679697666E-2</v>
      </c>
      <c r="I18">
        <f>B10*L11/100</f>
        <v>6.5802346398772637E-4</v>
      </c>
      <c r="K18" t="s">
        <v>30</v>
      </c>
      <c r="L18">
        <f>E19+F18+G17+H16+I15</f>
        <v>1.388621929564704</v>
      </c>
    </row>
    <row r="19" spans="4:12" x14ac:dyDescent="0.25">
      <c r="D19" t="s">
        <v>21</v>
      </c>
      <c r="E19">
        <f>B11*L7/100</f>
        <v>0</v>
      </c>
      <c r="F19">
        <f>B11*L8/100</f>
        <v>0</v>
      </c>
      <c r="G19">
        <f>B11*L9/100</f>
        <v>0</v>
      </c>
      <c r="H19">
        <f>B11*L10/100</f>
        <v>0</v>
      </c>
      <c r="I19">
        <f>B11*L11/100</f>
        <v>0</v>
      </c>
      <c r="K19" t="s">
        <v>31</v>
      </c>
      <c r="L19">
        <f>E20+F19+G18+H17+I16</f>
        <v>0.16445404344193873</v>
      </c>
    </row>
    <row r="20" spans="4:12" x14ac:dyDescent="0.25">
      <c r="D20" t="s">
        <v>19</v>
      </c>
      <c r="E20">
        <f>B12*L7/100</f>
        <v>0</v>
      </c>
      <c r="F20">
        <f>B12*L8/100</f>
        <v>0</v>
      </c>
      <c r="G20">
        <f>B12*L9/100</f>
        <v>0</v>
      </c>
      <c r="H20">
        <f>B12*L10/100</f>
        <v>0</v>
      </c>
      <c r="I20">
        <f>B12*L11/100</f>
        <v>0</v>
      </c>
      <c r="K20" t="s">
        <v>32</v>
      </c>
      <c r="L20">
        <f>F20+G19+H18+I17</f>
        <v>1.6726451289740141E-2</v>
      </c>
    </row>
    <row r="21" spans="4:12" x14ac:dyDescent="0.25">
      <c r="K21" t="s">
        <v>33</v>
      </c>
      <c r="L21">
        <f>G20+H19+I18</f>
        <v>6.5802346398772637E-4</v>
      </c>
    </row>
    <row r="22" spans="4:12" x14ac:dyDescent="0.25">
      <c r="K22" t="s">
        <v>34</v>
      </c>
      <c r="L22">
        <f>H20+I19</f>
        <v>0</v>
      </c>
    </row>
    <row r="23" spans="4:12" x14ac:dyDescent="0.25">
      <c r="K23" t="s">
        <v>35</v>
      </c>
      <c r="L23">
        <f>I20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DB45E-AA51-427C-BAD5-EEBE0A344F0C}">
  <dimension ref="A1:L23"/>
  <sheetViews>
    <sheetView workbookViewId="0">
      <selection activeCell="D1" sqref="D1:O24"/>
    </sheetView>
  </sheetViews>
  <sheetFormatPr defaultRowHeight="15" x14ac:dyDescent="0.25"/>
  <cols>
    <col min="1" max="1" width="9.85546875" bestFit="1" customWidth="1"/>
    <col min="2" max="2" width="26.42578125" bestFit="1" customWidth="1"/>
    <col min="5" max="7" width="15.140625" bestFit="1" customWidth="1"/>
    <col min="8" max="8" width="12.140625" customWidth="1"/>
    <col min="9" max="9" width="15.140625" bestFit="1" customWidth="1"/>
    <col min="10" max="10" width="12.140625" customWidth="1"/>
    <col min="11" max="11" width="20.5703125" customWidth="1"/>
  </cols>
  <sheetData>
    <row r="1" spans="1:12" x14ac:dyDescent="0.25">
      <c r="A1" t="s">
        <v>0</v>
      </c>
      <c r="B1" s="1" t="s">
        <v>36</v>
      </c>
      <c r="D1" t="s">
        <v>1</v>
      </c>
      <c r="K1" t="s">
        <v>2</v>
      </c>
    </row>
    <row r="2" spans="1:12" x14ac:dyDescent="0.25">
      <c r="A2" t="s">
        <v>22</v>
      </c>
      <c r="B2">
        <v>99.566666670000004</v>
      </c>
      <c r="E2" t="s">
        <v>7</v>
      </c>
      <c r="F2" t="s">
        <v>8</v>
      </c>
      <c r="K2" t="s">
        <v>4</v>
      </c>
      <c r="L2">
        <f>E3</f>
        <v>81.66144193805799</v>
      </c>
    </row>
    <row r="3" spans="1:12" x14ac:dyDescent="0.25">
      <c r="A3" t="s">
        <v>23</v>
      </c>
      <c r="B3">
        <v>0</v>
      </c>
      <c r="D3" t="s">
        <v>7</v>
      </c>
      <c r="E3">
        <f>B5*B5/100</f>
        <v>81.66144193805799</v>
      </c>
      <c r="F3">
        <f>B5*B6/100</f>
        <v>9.0150815844698222</v>
      </c>
      <c r="K3" t="s">
        <v>5</v>
      </c>
      <c r="L3">
        <f>F3+E4</f>
        <v>18.030163168939644</v>
      </c>
    </row>
    <row r="4" spans="1:12" x14ac:dyDescent="0.25">
      <c r="A4" t="s">
        <v>24</v>
      </c>
      <c r="B4">
        <v>0.43333333299999999</v>
      </c>
      <c r="D4" t="s">
        <v>8</v>
      </c>
      <c r="E4">
        <f>B6*B5/100</f>
        <v>9.0150815844698222</v>
      </c>
      <c r="F4">
        <f>B6*B6/100</f>
        <v>0.99522729510817742</v>
      </c>
      <c r="K4" t="s">
        <v>6</v>
      </c>
      <c r="L4">
        <f>F4</f>
        <v>0.99522729510817742</v>
      </c>
    </row>
    <row r="5" spans="1:12" x14ac:dyDescent="0.25">
      <c r="A5" t="s">
        <v>7</v>
      </c>
      <c r="B5">
        <v>90.366720610000002</v>
      </c>
    </row>
    <row r="6" spans="1:12" x14ac:dyDescent="0.25">
      <c r="A6" t="s">
        <v>8</v>
      </c>
      <c r="B6">
        <v>9.9761079339999998</v>
      </c>
      <c r="D6" t="s">
        <v>3</v>
      </c>
      <c r="K6" t="s">
        <v>9</v>
      </c>
    </row>
    <row r="7" spans="1:12" x14ac:dyDescent="0.25">
      <c r="A7" t="s">
        <v>16</v>
      </c>
      <c r="B7">
        <v>79.510000000000005</v>
      </c>
      <c r="E7" t="s">
        <v>4</v>
      </c>
      <c r="F7" t="s">
        <v>5</v>
      </c>
      <c r="G7" t="s">
        <v>6</v>
      </c>
      <c r="K7" t="s">
        <v>10</v>
      </c>
      <c r="L7">
        <f>E8</f>
        <v>81.307575692381789</v>
      </c>
    </row>
    <row r="8" spans="1:12" x14ac:dyDescent="0.25">
      <c r="A8" t="s">
        <v>17</v>
      </c>
      <c r="B8">
        <v>6.0633333333333326</v>
      </c>
      <c r="D8" t="s">
        <v>22</v>
      </c>
      <c r="E8">
        <f>B2*L2/100</f>
        <v>81.307575692381789</v>
      </c>
      <c r="F8">
        <f>B2*L3/100</f>
        <v>17.952032462475245</v>
      </c>
      <c r="G8">
        <f>B2*L4/100</f>
        <v>0.99091464352921632</v>
      </c>
      <c r="K8" t="s">
        <v>11</v>
      </c>
      <c r="L8">
        <f>F8+E9</f>
        <v>17.952032462475245</v>
      </c>
    </row>
    <row r="9" spans="1:12" x14ac:dyDescent="0.25">
      <c r="A9" t="s">
        <v>20</v>
      </c>
      <c r="B9">
        <v>14.423333333333332</v>
      </c>
      <c r="D9" t="s">
        <v>23</v>
      </c>
      <c r="E9">
        <f>B3*L2/100</f>
        <v>0</v>
      </c>
      <c r="F9">
        <f>B3*L3/100</f>
        <v>0</v>
      </c>
      <c r="G9">
        <f>B3*L4/100</f>
        <v>0</v>
      </c>
      <c r="K9" t="s">
        <v>12</v>
      </c>
      <c r="L9">
        <f>G8+F9+E10</f>
        <v>1.3447808916552628</v>
      </c>
    </row>
    <row r="10" spans="1:12" x14ac:dyDescent="0.25">
      <c r="A10" t="s">
        <v>18</v>
      </c>
      <c r="B10">
        <v>0</v>
      </c>
      <c r="D10" t="s">
        <v>24</v>
      </c>
      <c r="E10">
        <f>B4*L2/100</f>
        <v>0.35386624812604645</v>
      </c>
      <c r="F10">
        <f>B4*L3/100</f>
        <v>7.8130707005304584E-2</v>
      </c>
      <c r="G10">
        <f>B4*L4/100</f>
        <v>4.3126516088180114E-3</v>
      </c>
      <c r="K10" t="s">
        <v>13</v>
      </c>
      <c r="L10">
        <f>G9+F10</f>
        <v>7.8130707005304584E-2</v>
      </c>
    </row>
    <row r="11" spans="1:12" x14ac:dyDescent="0.25">
      <c r="A11" t="s">
        <v>21</v>
      </c>
      <c r="B11">
        <v>0</v>
      </c>
      <c r="K11" t="s">
        <v>14</v>
      </c>
      <c r="L11">
        <f>G10</f>
        <v>4.3126516088180114E-3</v>
      </c>
    </row>
    <row r="12" spans="1:12" x14ac:dyDescent="0.25">
      <c r="A12" t="s">
        <v>19</v>
      </c>
      <c r="B12">
        <v>0</v>
      </c>
    </row>
    <row r="13" spans="1:12" x14ac:dyDescent="0.25">
      <c r="D13" t="s">
        <v>15</v>
      </c>
      <c r="K13" t="s">
        <v>25</v>
      </c>
    </row>
    <row r="14" spans="1:12" x14ac:dyDescent="0.25">
      <c r="E14" t="s">
        <v>10</v>
      </c>
      <c r="F14" t="s">
        <v>11</v>
      </c>
      <c r="G14" t="s">
        <v>12</v>
      </c>
      <c r="H14" t="s">
        <v>13</v>
      </c>
      <c r="I14" t="s">
        <v>14</v>
      </c>
      <c r="K14" t="s">
        <v>26</v>
      </c>
      <c r="L14">
        <f>E15</f>
        <v>64.647653433012763</v>
      </c>
    </row>
    <row r="15" spans="1:12" x14ac:dyDescent="0.25">
      <c r="D15" t="s">
        <v>16</v>
      </c>
      <c r="E15">
        <f>B7*L7/100</f>
        <v>64.647653433012763</v>
      </c>
      <c r="F15">
        <f>B7*L8/100</f>
        <v>14.273661010914068</v>
      </c>
      <c r="G15">
        <f>B7*L9/100</f>
        <v>1.0692352869550996</v>
      </c>
      <c r="H15">
        <f>B7*L10/100</f>
        <v>6.2121725139917677E-2</v>
      </c>
      <c r="I15">
        <f>B7*L11/100</f>
        <v>3.4289892941712012E-3</v>
      </c>
      <c r="K15" t="s">
        <v>27</v>
      </c>
      <c r="L15">
        <f>E16+F15</f>
        <v>19.203610350395483</v>
      </c>
    </row>
    <row r="16" spans="1:12" x14ac:dyDescent="0.25">
      <c r="D16" t="s">
        <v>17</v>
      </c>
      <c r="E16">
        <f>B8*L7/100</f>
        <v>4.9299493394814151</v>
      </c>
      <c r="F16">
        <f>B8*L8/100</f>
        <v>1.0884915683080822</v>
      </c>
      <c r="G16">
        <f>B8*L9/100</f>
        <v>8.1538548064030769E-2</v>
      </c>
      <c r="H16">
        <f>B8*L10/100</f>
        <v>4.7373252014216334E-3</v>
      </c>
      <c r="I16">
        <f>B8*L11/100</f>
        <v>2.614904425479987E-4</v>
      </c>
      <c r="K16" t="s">
        <v>28</v>
      </c>
      <c r="L16">
        <f>E17+F16+G15</f>
        <v>13.884989522627716</v>
      </c>
    </row>
    <row r="17" spans="4:12" x14ac:dyDescent="0.25">
      <c r="D17" t="s">
        <v>20</v>
      </c>
      <c r="E17">
        <f>B9*L7/100</f>
        <v>11.727262667364533</v>
      </c>
      <c r="F17">
        <f>B9*L8/100</f>
        <v>2.5892814821710122</v>
      </c>
      <c r="G17">
        <f>B9*L9/100</f>
        <v>0.19396223060641074</v>
      </c>
      <c r="H17">
        <f>B9*L10/100</f>
        <v>1.1269052307065097E-2</v>
      </c>
      <c r="I17">
        <f>B9*L11/100</f>
        <v>6.2202811704518447E-4</v>
      </c>
      <c r="K17" t="s">
        <v>29</v>
      </c>
      <c r="L17">
        <f>E18+F17+G16+H15</f>
        <v>2.7329417553749606</v>
      </c>
    </row>
    <row r="18" spans="4:12" x14ac:dyDescent="0.25">
      <c r="D18" t="s">
        <v>18</v>
      </c>
      <c r="E18">
        <f>B10*L7/100</f>
        <v>0</v>
      </c>
      <c r="F18">
        <f>B10*L8/100</f>
        <v>0</v>
      </c>
      <c r="G18">
        <f>B10*L9/100</f>
        <v>0</v>
      </c>
      <c r="H18">
        <f>B10*L10/100</f>
        <v>0</v>
      </c>
      <c r="I18">
        <f>B10*L11/100</f>
        <v>0</v>
      </c>
      <c r="K18" t="s">
        <v>30</v>
      </c>
      <c r="L18">
        <f>E19+F18+G17+H16+I15</f>
        <v>0.20212854510200359</v>
      </c>
    </row>
    <row r="19" spans="4:12" x14ac:dyDescent="0.25">
      <c r="D19" t="s">
        <v>21</v>
      </c>
      <c r="E19">
        <f>B11*L7/100</f>
        <v>0</v>
      </c>
      <c r="F19">
        <f>B11*L8/100</f>
        <v>0</v>
      </c>
      <c r="G19">
        <f>B11*L9/100</f>
        <v>0</v>
      </c>
      <c r="H19">
        <f>B11*L10/100</f>
        <v>0</v>
      </c>
      <c r="I19">
        <f>B11*L11/100</f>
        <v>0</v>
      </c>
      <c r="K19" t="s">
        <v>31</v>
      </c>
      <c r="L19">
        <f>E20+F19+G18+H17+I16</f>
        <v>1.1530542749613095E-2</v>
      </c>
    </row>
    <row r="20" spans="4:12" x14ac:dyDescent="0.25">
      <c r="D20" t="s">
        <v>19</v>
      </c>
      <c r="E20">
        <f>B12*L7/100</f>
        <v>0</v>
      </c>
      <c r="F20">
        <f>B12*L8/100</f>
        <v>0</v>
      </c>
      <c r="G20">
        <f>B12*L9/100</f>
        <v>0</v>
      </c>
      <c r="H20">
        <f>B12*L10/100</f>
        <v>0</v>
      </c>
      <c r="I20">
        <f>B12*L11/100</f>
        <v>0</v>
      </c>
      <c r="K20" t="s">
        <v>32</v>
      </c>
      <c r="L20">
        <f>F20+G19+H18+I17</f>
        <v>6.2202811704518447E-4</v>
      </c>
    </row>
    <row r="21" spans="4:12" x14ac:dyDescent="0.25">
      <c r="K21" t="s">
        <v>33</v>
      </c>
      <c r="L21">
        <f>G20+H19+I18</f>
        <v>0</v>
      </c>
    </row>
    <row r="22" spans="4:12" x14ac:dyDescent="0.25">
      <c r="K22" t="s">
        <v>34</v>
      </c>
      <c r="L22">
        <f>H20+I19</f>
        <v>0</v>
      </c>
    </row>
    <row r="23" spans="4:12" x14ac:dyDescent="0.25">
      <c r="K23" t="s">
        <v>35</v>
      </c>
      <c r="L23">
        <f>I20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21245-8FE8-4FC5-8E2E-9BD4BB2A584E}">
  <dimension ref="A1:L23"/>
  <sheetViews>
    <sheetView workbookViewId="0">
      <selection activeCell="D1" sqref="D1:O27"/>
    </sheetView>
  </sheetViews>
  <sheetFormatPr defaultRowHeight="15" x14ac:dyDescent="0.25"/>
  <cols>
    <col min="1" max="1" width="9.85546875" bestFit="1" customWidth="1"/>
    <col min="2" max="2" width="26.42578125" bestFit="1" customWidth="1"/>
    <col min="5" max="9" width="15.140625" bestFit="1" customWidth="1"/>
    <col min="10" max="10" width="12.140625" customWidth="1"/>
    <col min="11" max="11" width="20" customWidth="1"/>
  </cols>
  <sheetData>
    <row r="1" spans="1:12" x14ac:dyDescent="0.25">
      <c r="A1" t="s">
        <v>0</v>
      </c>
      <c r="B1" s="1" t="s">
        <v>36</v>
      </c>
      <c r="D1" t="s">
        <v>1</v>
      </c>
      <c r="K1" t="s">
        <v>2</v>
      </c>
    </row>
    <row r="2" spans="1:12" x14ac:dyDescent="0.25">
      <c r="A2" t="s">
        <v>22</v>
      </c>
      <c r="B2">
        <v>98.64</v>
      </c>
      <c r="E2" t="s">
        <v>7</v>
      </c>
      <c r="F2" t="s">
        <v>8</v>
      </c>
      <c r="K2" t="s">
        <v>4</v>
      </c>
      <c r="L2">
        <f>E3</f>
        <v>82.467201685129709</v>
      </c>
    </row>
    <row r="3" spans="1:12" x14ac:dyDescent="0.25">
      <c r="A3" t="s">
        <v>23</v>
      </c>
      <c r="B3">
        <v>0.67</v>
      </c>
      <c r="D3" t="s">
        <v>7</v>
      </c>
      <c r="E3">
        <f>B5*B5/100</f>
        <v>82.467201685129709</v>
      </c>
      <c r="F3">
        <f>B5*B6/100</f>
        <v>8.3184951252222614</v>
      </c>
      <c r="K3" t="s">
        <v>5</v>
      </c>
      <c r="L3">
        <f>F3+E4</f>
        <v>16.636990250444523</v>
      </c>
    </row>
    <row r="4" spans="1:12" x14ac:dyDescent="0.25">
      <c r="A4" t="s">
        <v>24</v>
      </c>
      <c r="B4">
        <v>0.69</v>
      </c>
      <c r="D4" t="s">
        <v>8</v>
      </c>
      <c r="E4">
        <f>B6*B5/100</f>
        <v>8.3184951252222614</v>
      </c>
      <c r="F4">
        <f>B6*B6/100</f>
        <v>0.83908947720271698</v>
      </c>
      <c r="K4" t="s">
        <v>6</v>
      </c>
      <c r="L4">
        <f>F4</f>
        <v>0.83908947720271698</v>
      </c>
    </row>
    <row r="5" spans="1:12" x14ac:dyDescent="0.25">
      <c r="A5" t="s">
        <v>7</v>
      </c>
      <c r="B5">
        <v>90.811453950000001</v>
      </c>
    </row>
    <row r="6" spans="1:12" x14ac:dyDescent="0.25">
      <c r="A6" t="s">
        <v>8</v>
      </c>
      <c r="B6">
        <v>9.1601827339999993</v>
      </c>
      <c r="D6" t="s">
        <v>3</v>
      </c>
      <c r="K6" t="s">
        <v>9</v>
      </c>
    </row>
    <row r="7" spans="1:12" x14ac:dyDescent="0.25">
      <c r="A7" t="s">
        <v>16</v>
      </c>
      <c r="B7">
        <v>87.600000000000009</v>
      </c>
      <c r="E7" t="s">
        <v>4</v>
      </c>
      <c r="F7" t="s">
        <v>5</v>
      </c>
      <c r="G7" t="s">
        <v>6</v>
      </c>
      <c r="K7" t="s">
        <v>10</v>
      </c>
      <c r="L7">
        <f>E8</f>
        <v>81.345647742211952</v>
      </c>
    </row>
    <row r="8" spans="1:12" x14ac:dyDescent="0.25">
      <c r="A8" t="s">
        <v>17</v>
      </c>
      <c r="B8">
        <v>2.3066666666666666</v>
      </c>
      <c r="D8" t="s">
        <v>22</v>
      </c>
      <c r="E8">
        <f>B2*L2/100</f>
        <v>81.345647742211952</v>
      </c>
      <c r="F8">
        <f>B2*L3/100</f>
        <v>16.410727183038478</v>
      </c>
      <c r="G8">
        <f>B2*L4/100</f>
        <v>0.82767786031276003</v>
      </c>
      <c r="K8" t="s">
        <v>11</v>
      </c>
      <c r="L8">
        <f>F8+E9</f>
        <v>16.963257434328849</v>
      </c>
    </row>
    <row r="9" spans="1:12" x14ac:dyDescent="0.25">
      <c r="A9" t="s">
        <v>20</v>
      </c>
      <c r="B9">
        <v>2.8166666666666664</v>
      </c>
      <c r="D9" t="s">
        <v>23</v>
      </c>
      <c r="E9">
        <f>B3*L2/100</f>
        <v>0.55253025129036903</v>
      </c>
      <c r="F9">
        <f>B3*L3/100</f>
        <v>0.11146783467797831</v>
      </c>
      <c r="G9">
        <f>B3*L4/100</f>
        <v>5.6218994972582039E-3</v>
      </c>
      <c r="K9" t="s">
        <v>12</v>
      </c>
      <c r="L9">
        <f>G8+F9+E10</f>
        <v>1.5081693866181332</v>
      </c>
    </row>
    <row r="10" spans="1:12" x14ac:dyDescent="0.25">
      <c r="A10" t="s">
        <v>18</v>
      </c>
      <c r="B10">
        <v>4.7833333333333341</v>
      </c>
      <c r="D10" t="s">
        <v>24</v>
      </c>
      <c r="E10">
        <f>B4*L2/100</f>
        <v>0.56902369162739497</v>
      </c>
      <c r="F10">
        <f>B4*L3/100</f>
        <v>0.1147952327280672</v>
      </c>
      <c r="G10">
        <f>B4*L4/100</f>
        <v>5.7897173926987466E-3</v>
      </c>
      <c r="K10" t="s">
        <v>13</v>
      </c>
      <c r="L10">
        <f>G9+F10</f>
        <v>0.12041713222532541</v>
      </c>
    </row>
    <row r="11" spans="1:12" x14ac:dyDescent="0.25">
      <c r="A11" t="s">
        <v>21</v>
      </c>
      <c r="B11">
        <v>0</v>
      </c>
      <c r="K11" t="s">
        <v>14</v>
      </c>
      <c r="L11">
        <f>G10</f>
        <v>5.7897173926987466E-3</v>
      </c>
    </row>
    <row r="12" spans="1:12" x14ac:dyDescent="0.25">
      <c r="A12" t="s">
        <v>19</v>
      </c>
      <c r="B12">
        <v>2.4866666666666664</v>
      </c>
    </row>
    <row r="13" spans="1:12" x14ac:dyDescent="0.25">
      <c r="D13" t="s">
        <v>15</v>
      </c>
      <c r="K13" t="s">
        <v>25</v>
      </c>
    </row>
    <row r="14" spans="1:12" x14ac:dyDescent="0.25">
      <c r="E14" t="s">
        <v>10</v>
      </c>
      <c r="F14" t="s">
        <v>11</v>
      </c>
      <c r="G14" t="s">
        <v>12</v>
      </c>
      <c r="H14" t="s">
        <v>13</v>
      </c>
      <c r="I14" t="s">
        <v>14</v>
      </c>
      <c r="K14" t="s">
        <v>26</v>
      </c>
      <c r="L14">
        <f>E15</f>
        <v>71.258787422177676</v>
      </c>
    </row>
    <row r="15" spans="1:12" x14ac:dyDescent="0.25">
      <c r="D15" t="s">
        <v>16</v>
      </c>
      <c r="E15">
        <f>B7*L7/100</f>
        <v>71.258787422177676</v>
      </c>
      <c r="F15">
        <f>B7*L8/100</f>
        <v>14.859813512472074</v>
      </c>
      <c r="G15">
        <f>B7*L9/100</f>
        <v>1.3211563826774846</v>
      </c>
      <c r="H15">
        <f>B7*L10/100</f>
        <v>0.10548540782938506</v>
      </c>
      <c r="I15">
        <f>B7*L11/100</f>
        <v>5.0717924360041021E-3</v>
      </c>
      <c r="K15" t="s">
        <v>27</v>
      </c>
      <c r="L15">
        <f>E16+F15</f>
        <v>16.736186453725765</v>
      </c>
    </row>
    <row r="16" spans="1:12" x14ac:dyDescent="0.25">
      <c r="D16" t="s">
        <v>17</v>
      </c>
      <c r="E16">
        <f>B8*L7/100</f>
        <v>1.8763729412536889</v>
      </c>
      <c r="F16">
        <f>B8*L8/100</f>
        <v>0.39128580481851877</v>
      </c>
      <c r="G16">
        <f>B8*L9/100</f>
        <v>3.4788440517991605E-2</v>
      </c>
      <c r="H16">
        <f>B8*L10/100</f>
        <v>2.7776218499975056E-3</v>
      </c>
      <c r="I16">
        <f>B8*L11/100</f>
        <v>1.3354948119158441E-4</v>
      </c>
      <c r="K16" t="s">
        <v>28</v>
      </c>
      <c r="L16">
        <f>E17+F16+G15</f>
        <v>4.0036779322349734</v>
      </c>
    </row>
    <row r="17" spans="4:12" x14ac:dyDescent="0.25">
      <c r="D17" t="s">
        <v>20</v>
      </c>
      <c r="E17">
        <f>B9*L7/100</f>
        <v>2.29123574473897</v>
      </c>
      <c r="F17">
        <f>B9*L8/100</f>
        <v>0.47779841773359588</v>
      </c>
      <c r="G17">
        <f>B9*L9/100</f>
        <v>4.2480104389744075E-2</v>
      </c>
      <c r="H17">
        <f>B9*L10/100</f>
        <v>3.3917492243466653E-3</v>
      </c>
      <c r="I17">
        <f>B9*L11/100</f>
        <v>1.6307703989434802E-4</v>
      </c>
      <c r="K17" t="s">
        <v>29</v>
      </c>
      <c r="L17">
        <f>E18+F17+G16+H15</f>
        <v>4.5091057497501117</v>
      </c>
    </row>
    <row r="18" spans="4:12" x14ac:dyDescent="0.25">
      <c r="D18" t="s">
        <v>18</v>
      </c>
      <c r="E18">
        <f>B10*L7/100</f>
        <v>3.8910334836691391</v>
      </c>
      <c r="F18">
        <f>B10*L8/100</f>
        <v>0.81140914727539681</v>
      </c>
      <c r="G18">
        <f>B10*L9/100</f>
        <v>7.2140768993234045E-2</v>
      </c>
      <c r="H18">
        <f>B10*L10/100</f>
        <v>5.7599528247780666E-3</v>
      </c>
      <c r="I18">
        <f>B10*L11/100</f>
        <v>2.7694148195075676E-4</v>
      </c>
      <c r="K18" t="s">
        <v>30</v>
      </c>
      <c r="L18">
        <f>E19+F18+G17+H16+I15</f>
        <v>0.86173866595114246</v>
      </c>
    </row>
    <row r="19" spans="4:12" x14ac:dyDescent="0.25">
      <c r="D19" t="s">
        <v>21</v>
      </c>
      <c r="E19">
        <f>B11*L7/100</f>
        <v>0</v>
      </c>
      <c r="F19">
        <f>B11*L8/100</f>
        <v>0</v>
      </c>
      <c r="G19">
        <f>B11*L9/100</f>
        <v>0</v>
      </c>
      <c r="H19">
        <f>B11*L10/100</f>
        <v>0</v>
      </c>
      <c r="I19">
        <f>B11*L11/100</f>
        <v>0</v>
      </c>
      <c r="K19" t="s">
        <v>31</v>
      </c>
      <c r="L19">
        <f>E20+F19+G18+H17+I16</f>
        <v>2.0984611748884427</v>
      </c>
    </row>
    <row r="20" spans="4:12" x14ac:dyDescent="0.25">
      <c r="D20" t="s">
        <v>19</v>
      </c>
      <c r="E20">
        <f>B12*L7/100</f>
        <v>2.0227951071896704</v>
      </c>
      <c r="F20">
        <f>B12*L8/100</f>
        <v>0.42181966820031064</v>
      </c>
      <c r="G20">
        <f>B12*L9/100</f>
        <v>3.7503145413904239E-2</v>
      </c>
      <c r="H20">
        <f>B12*L10/100</f>
        <v>2.9943726880030915E-3</v>
      </c>
      <c r="I20">
        <f>B12*L11/100</f>
        <v>1.4397097249844215E-4</v>
      </c>
      <c r="K20" t="s">
        <v>32</v>
      </c>
      <c r="L20">
        <f>F20+G19+H18+I17</f>
        <v>0.42774269806498305</v>
      </c>
    </row>
    <row r="21" spans="4:12" x14ac:dyDescent="0.25">
      <c r="K21" t="s">
        <v>33</v>
      </c>
      <c r="L21">
        <f>G20+H19+I18</f>
        <v>3.7780086895854999E-2</v>
      </c>
    </row>
    <row r="22" spans="4:12" x14ac:dyDescent="0.25">
      <c r="K22" t="s">
        <v>34</v>
      </c>
      <c r="L22">
        <f>H20+I19</f>
        <v>2.9943726880030915E-3</v>
      </c>
    </row>
    <row r="23" spans="4:12" x14ac:dyDescent="0.25">
      <c r="K23" t="s">
        <v>35</v>
      </c>
      <c r="L23">
        <f>I20</f>
        <v>1.4397097249844215E-4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5C0D2-BD8A-4388-BDB9-A3C325A5ED7B}">
  <dimension ref="A1:L23"/>
  <sheetViews>
    <sheetView workbookViewId="0">
      <selection activeCell="D1" sqref="D1:N25"/>
    </sheetView>
  </sheetViews>
  <sheetFormatPr defaultRowHeight="15" x14ac:dyDescent="0.25"/>
  <cols>
    <col min="1" max="1" width="9.85546875" bestFit="1" customWidth="1"/>
    <col min="2" max="2" width="26.42578125" bestFit="1" customWidth="1"/>
    <col min="4" max="4" width="9.7109375" customWidth="1"/>
    <col min="5" max="9" width="15.140625" bestFit="1" customWidth="1"/>
    <col min="10" max="10" width="12.140625" customWidth="1"/>
    <col min="11" max="11" width="19.85546875" customWidth="1"/>
    <col min="12" max="12" width="16" customWidth="1"/>
  </cols>
  <sheetData>
    <row r="1" spans="1:12" x14ac:dyDescent="0.25">
      <c r="A1" t="s">
        <v>0</v>
      </c>
      <c r="B1" s="1" t="s">
        <v>36</v>
      </c>
      <c r="D1" t="s">
        <v>1</v>
      </c>
      <c r="K1" t="s">
        <v>2</v>
      </c>
    </row>
    <row r="2" spans="1:12" x14ac:dyDescent="0.25">
      <c r="A2" t="s">
        <v>22</v>
      </c>
      <c r="B2">
        <v>99.456666670000004</v>
      </c>
      <c r="E2" t="s">
        <v>7</v>
      </c>
      <c r="F2" t="s">
        <v>8</v>
      </c>
      <c r="K2" t="s">
        <v>4</v>
      </c>
      <c r="L2">
        <f>E3</f>
        <v>75.147294404152817</v>
      </c>
    </row>
    <row r="3" spans="1:12" x14ac:dyDescent="0.25">
      <c r="A3" t="s">
        <v>23</v>
      </c>
      <c r="B3">
        <v>0</v>
      </c>
      <c r="D3" t="s">
        <v>7</v>
      </c>
      <c r="E3">
        <f>B5*B5/100</f>
        <v>75.147294404152817</v>
      </c>
      <c r="F3">
        <f>B5*B6/100</f>
        <v>12.401299040225856</v>
      </c>
      <c r="K3" t="s">
        <v>5</v>
      </c>
      <c r="L3">
        <f>F3+E4</f>
        <v>24.802598080451713</v>
      </c>
    </row>
    <row r="4" spans="1:12" x14ac:dyDescent="0.25">
      <c r="A4" t="s">
        <v>24</v>
      </c>
      <c r="B4">
        <v>0.54333333299999997</v>
      </c>
      <c r="D4" t="s">
        <v>8</v>
      </c>
      <c r="E4">
        <f>B6*B5/100</f>
        <v>12.401299040225856</v>
      </c>
      <c r="F4">
        <f>B6*B6/100</f>
        <v>2.0465436461090714</v>
      </c>
      <c r="K4" t="s">
        <v>6</v>
      </c>
      <c r="L4">
        <f>F4</f>
        <v>2.0465436461090714</v>
      </c>
    </row>
    <row r="5" spans="1:12" x14ac:dyDescent="0.25">
      <c r="A5" t="s">
        <v>7</v>
      </c>
      <c r="B5">
        <v>86.687539130000005</v>
      </c>
    </row>
    <row r="6" spans="1:12" x14ac:dyDescent="0.25">
      <c r="A6" t="s">
        <v>8</v>
      </c>
      <c r="B6">
        <v>14.30574586</v>
      </c>
      <c r="D6" t="s">
        <v>3</v>
      </c>
      <c r="K6" t="s">
        <v>9</v>
      </c>
    </row>
    <row r="7" spans="1:12" x14ac:dyDescent="0.25">
      <c r="A7" t="s">
        <v>16</v>
      </c>
      <c r="B7">
        <v>89.35</v>
      </c>
      <c r="E7" t="s">
        <v>4</v>
      </c>
      <c r="F7" t="s">
        <v>5</v>
      </c>
      <c r="G7" t="s">
        <v>6</v>
      </c>
      <c r="K7" t="s">
        <v>10</v>
      </c>
      <c r="L7">
        <f>E8</f>
        <v>74.738994107061842</v>
      </c>
    </row>
    <row r="8" spans="1:12" x14ac:dyDescent="0.25">
      <c r="A8" t="s">
        <v>17</v>
      </c>
      <c r="B8">
        <v>2.4249999999999998</v>
      </c>
      <c r="D8" t="s">
        <v>22</v>
      </c>
      <c r="E8">
        <f>B2*L2/100</f>
        <v>74.738994107061842</v>
      </c>
      <c r="F8">
        <f>B2*L3/100</f>
        <v>24.667837298374678</v>
      </c>
      <c r="G8">
        <f>B2*L4/100</f>
        <v>2.0354240923667635</v>
      </c>
      <c r="K8" t="s">
        <v>11</v>
      </c>
      <c r="L8">
        <f>F8+E9</f>
        <v>24.667837298374678</v>
      </c>
    </row>
    <row r="9" spans="1:12" x14ac:dyDescent="0.25">
      <c r="A9" t="s">
        <v>20</v>
      </c>
      <c r="B9">
        <v>7.1</v>
      </c>
      <c r="D9" t="s">
        <v>23</v>
      </c>
      <c r="E9">
        <f>B3*L2/100</f>
        <v>0</v>
      </c>
      <c r="F9">
        <f>B3*L3/100</f>
        <v>0</v>
      </c>
      <c r="G9">
        <f>B3*L4/100</f>
        <v>0</v>
      </c>
      <c r="K9" t="s">
        <v>12</v>
      </c>
      <c r="L9">
        <f>G8+F9+E10</f>
        <v>2.4437243917121694</v>
      </c>
    </row>
    <row r="10" spans="1:12" x14ac:dyDescent="0.25">
      <c r="A10" t="s">
        <v>18</v>
      </c>
      <c r="B10">
        <v>1.125</v>
      </c>
      <c r="D10" t="s">
        <v>24</v>
      </c>
      <c r="E10">
        <f>B4*L2/100</f>
        <v>0.40830029934540596</v>
      </c>
      <c r="F10">
        <f>B4*L3/100</f>
        <v>0.13476078282111228</v>
      </c>
      <c r="G10">
        <f>B4*L4/100</f>
        <v>1.111955380370414E-2</v>
      </c>
      <c r="K10" t="s">
        <v>13</v>
      </c>
      <c r="L10">
        <f>G9+F10</f>
        <v>0.13476078282111228</v>
      </c>
    </row>
    <row r="11" spans="1:12" x14ac:dyDescent="0.25">
      <c r="A11" t="s">
        <v>21</v>
      </c>
      <c r="B11">
        <v>0</v>
      </c>
      <c r="K11" t="s">
        <v>14</v>
      </c>
      <c r="L11">
        <f>G10</f>
        <v>1.111955380370414E-2</v>
      </c>
    </row>
    <row r="12" spans="1:12" x14ac:dyDescent="0.25">
      <c r="A12" t="s">
        <v>19</v>
      </c>
      <c r="B12">
        <v>0</v>
      </c>
    </row>
    <row r="13" spans="1:12" x14ac:dyDescent="0.25">
      <c r="D13" t="s">
        <v>15</v>
      </c>
      <c r="K13" t="s">
        <v>25</v>
      </c>
    </row>
    <row r="14" spans="1:12" x14ac:dyDescent="0.25">
      <c r="E14" t="s">
        <v>10</v>
      </c>
      <c r="F14" t="s">
        <v>11</v>
      </c>
      <c r="G14" t="s">
        <v>12</v>
      </c>
      <c r="H14" t="s">
        <v>13</v>
      </c>
      <c r="I14" t="s">
        <v>14</v>
      </c>
      <c r="K14" t="s">
        <v>26</v>
      </c>
      <c r="L14">
        <f>E15</f>
        <v>66.779291234659752</v>
      </c>
    </row>
    <row r="15" spans="1:12" x14ac:dyDescent="0.25">
      <c r="D15" t="s">
        <v>16</v>
      </c>
      <c r="E15">
        <f>B7*L7/100</f>
        <v>66.779291234659752</v>
      </c>
      <c r="F15">
        <f>B7*L8/100</f>
        <v>22.040712626097775</v>
      </c>
      <c r="G15">
        <f>B7*L9/100</f>
        <v>2.1834677439948234</v>
      </c>
      <c r="H15">
        <f>B7*L10/100</f>
        <v>0.12040875945066382</v>
      </c>
      <c r="I15">
        <f>B7*L11/100</f>
        <v>9.9353213236096499E-3</v>
      </c>
      <c r="K15" t="s">
        <v>27</v>
      </c>
      <c r="L15">
        <f>E16+F15</f>
        <v>23.853133233194026</v>
      </c>
    </row>
    <row r="16" spans="1:12" x14ac:dyDescent="0.25">
      <c r="D16" t="s">
        <v>17</v>
      </c>
      <c r="E16">
        <f>B8*L7/100</f>
        <v>1.8124206070962494</v>
      </c>
      <c r="F16">
        <f>B8*L8/100</f>
        <v>0.59819505448558585</v>
      </c>
      <c r="G16">
        <f>B8*L9/100</f>
        <v>5.9260316499020103E-2</v>
      </c>
      <c r="H16">
        <f>B8*L10/100</f>
        <v>3.2679489834119731E-3</v>
      </c>
      <c r="I16">
        <f>B8*L11/100</f>
        <v>2.6964917973982541E-4</v>
      </c>
      <c r="K16" t="s">
        <v>28</v>
      </c>
      <c r="L16">
        <f>E17+F16+G15</f>
        <v>8.0881313800817995</v>
      </c>
    </row>
    <row r="17" spans="4:12" x14ac:dyDescent="0.25">
      <c r="D17" t="s">
        <v>20</v>
      </c>
      <c r="E17">
        <f>B9*L7/100</f>
        <v>5.3064685816013899</v>
      </c>
      <c r="F17">
        <f>B9*L8/100</f>
        <v>1.7514164481846022</v>
      </c>
      <c r="G17">
        <f>B9*L9/100</f>
        <v>0.173504431811564</v>
      </c>
      <c r="H17">
        <f>B9*L10/100</f>
        <v>9.5680155802989712E-3</v>
      </c>
      <c r="I17">
        <f>B9*L11/100</f>
        <v>7.8948832006299388E-4</v>
      </c>
      <c r="K17" t="s">
        <v>29</v>
      </c>
      <c r="L17">
        <f>E18+F17+G16+H15</f>
        <v>2.7718992078387319</v>
      </c>
    </row>
    <row r="18" spans="4:12" x14ac:dyDescent="0.25">
      <c r="D18" t="s">
        <v>18</v>
      </c>
      <c r="E18">
        <f>B10*L7/100</f>
        <v>0.84081368370444576</v>
      </c>
      <c r="F18">
        <f>B10*L8/100</f>
        <v>0.27751316960671513</v>
      </c>
      <c r="G18">
        <f>B10*L9/100</f>
        <v>2.7491899406761906E-2</v>
      </c>
      <c r="H18">
        <f>B10*L10/100</f>
        <v>1.5160588067375134E-3</v>
      </c>
      <c r="I18">
        <f>B10*L11/100</f>
        <v>1.2509498029167159E-4</v>
      </c>
      <c r="K18" t="s">
        <v>30</v>
      </c>
      <c r="L18">
        <f>E19+F18+G17+H16+I15</f>
        <v>0.46422087172530074</v>
      </c>
    </row>
    <row r="19" spans="4:12" x14ac:dyDescent="0.25">
      <c r="D19" t="s">
        <v>21</v>
      </c>
      <c r="E19">
        <f>B11*L7/100</f>
        <v>0</v>
      </c>
      <c r="F19">
        <f>B11*L8/100</f>
        <v>0</v>
      </c>
      <c r="G19">
        <f>B11*L9/100</f>
        <v>0</v>
      </c>
      <c r="H19">
        <f>B11*L10/100</f>
        <v>0</v>
      </c>
      <c r="I19">
        <f>B11*L11/100</f>
        <v>0</v>
      </c>
      <c r="K19" t="s">
        <v>31</v>
      </c>
      <c r="L19">
        <f>E20+F19+G18+H17+I16</f>
        <v>3.7329564166800701E-2</v>
      </c>
    </row>
    <row r="20" spans="4:12" x14ac:dyDescent="0.25">
      <c r="D20" t="s">
        <v>19</v>
      </c>
      <c r="E20">
        <f>B12*L7/100</f>
        <v>0</v>
      </c>
      <c r="F20">
        <f>B12*L8/100</f>
        <v>0</v>
      </c>
      <c r="G20">
        <f>B12*L9/100</f>
        <v>0</v>
      </c>
      <c r="H20">
        <f>B12*L10/100</f>
        <v>0</v>
      </c>
      <c r="I20">
        <f>B12*L11/100</f>
        <v>0</v>
      </c>
      <c r="K20" t="s">
        <v>32</v>
      </c>
      <c r="L20">
        <f>F20+G19+H18+I17</f>
        <v>2.3055471268005074E-3</v>
      </c>
    </row>
    <row r="21" spans="4:12" x14ac:dyDescent="0.25">
      <c r="K21" t="s">
        <v>33</v>
      </c>
      <c r="L21">
        <f>G20+H19+I18</f>
        <v>1.2509498029167159E-4</v>
      </c>
    </row>
    <row r="22" spans="4:12" x14ac:dyDescent="0.25">
      <c r="K22" t="s">
        <v>34</v>
      </c>
      <c r="L22">
        <f>H20+I19</f>
        <v>0</v>
      </c>
    </row>
    <row r="23" spans="4:12" x14ac:dyDescent="0.25">
      <c r="K23" t="s">
        <v>35</v>
      </c>
      <c r="L23">
        <f>I20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D517E-1F83-431C-8BFE-F3BA3B366C47}">
  <dimension ref="A1:L23"/>
  <sheetViews>
    <sheetView workbookViewId="0">
      <selection activeCell="E31" sqref="E31"/>
    </sheetView>
  </sheetViews>
  <sheetFormatPr defaultRowHeight="15" x14ac:dyDescent="0.25"/>
  <cols>
    <col min="1" max="1" width="9.85546875" bestFit="1" customWidth="1"/>
    <col min="2" max="2" width="26.42578125" bestFit="1" customWidth="1"/>
    <col min="4" max="4" width="10.140625" customWidth="1"/>
    <col min="5" max="9" width="15.140625" bestFit="1" customWidth="1"/>
    <col min="10" max="10" width="12.140625" customWidth="1"/>
    <col min="11" max="11" width="19.140625" customWidth="1"/>
    <col min="12" max="12" width="14.85546875" customWidth="1"/>
    <col min="13" max="19" width="19.5703125" bestFit="1" customWidth="1"/>
  </cols>
  <sheetData>
    <row r="1" spans="1:12" x14ac:dyDescent="0.25">
      <c r="A1" t="s">
        <v>0</v>
      </c>
      <c r="B1" s="1" t="s">
        <v>36</v>
      </c>
      <c r="D1" t="s">
        <v>1</v>
      </c>
      <c r="K1" t="s">
        <v>2</v>
      </c>
    </row>
    <row r="2" spans="1:12" x14ac:dyDescent="0.25">
      <c r="A2" t="s">
        <v>22</v>
      </c>
      <c r="B2">
        <v>98.76</v>
      </c>
      <c r="E2" t="s">
        <v>7</v>
      </c>
      <c r="F2" t="s">
        <v>8</v>
      </c>
      <c r="K2" t="s">
        <v>4</v>
      </c>
      <c r="L2">
        <f>E3</f>
        <v>88.337280231855928</v>
      </c>
    </row>
    <row r="3" spans="1:12" x14ac:dyDescent="0.25">
      <c r="A3" t="s">
        <v>23</v>
      </c>
      <c r="B3">
        <v>0.85333333300000003</v>
      </c>
      <c r="D3" t="s">
        <v>7</v>
      </c>
      <c r="E3">
        <f>B5*B5/100</f>
        <v>88.337280231855928</v>
      </c>
      <c r="F3">
        <f>B5*B6/100</f>
        <v>5.675578943833492</v>
      </c>
      <c r="K3" t="s">
        <v>5</v>
      </c>
      <c r="L3">
        <f>F3+E4</f>
        <v>11.351157887666984</v>
      </c>
    </row>
    <row r="4" spans="1:12" x14ac:dyDescent="0.25">
      <c r="A4" t="s">
        <v>24</v>
      </c>
      <c r="B4">
        <v>0.38666666700000002</v>
      </c>
      <c r="D4" t="s">
        <v>8</v>
      </c>
      <c r="E4">
        <f>B6*B5/100</f>
        <v>5.675578943833492</v>
      </c>
      <c r="F4">
        <f>B6*B6/100</f>
        <v>0.36465008049987291</v>
      </c>
      <c r="K4" t="s">
        <v>6</v>
      </c>
      <c r="L4">
        <f>F4</f>
        <v>0.36465008049987291</v>
      </c>
    </row>
    <row r="5" spans="1:12" x14ac:dyDescent="0.25">
      <c r="A5" t="s">
        <v>7</v>
      </c>
      <c r="B5">
        <v>93.987914239999995</v>
      </c>
    </row>
    <row r="6" spans="1:12" x14ac:dyDescent="0.25">
      <c r="A6" t="s">
        <v>8</v>
      </c>
      <c r="B6">
        <v>6.0386263380000003</v>
      </c>
      <c r="D6" t="s">
        <v>3</v>
      </c>
      <c r="K6" t="s">
        <v>9</v>
      </c>
    </row>
    <row r="7" spans="1:12" x14ac:dyDescent="0.25">
      <c r="A7" t="s">
        <v>16</v>
      </c>
      <c r="B7">
        <v>94.726666666666645</v>
      </c>
      <c r="E7" t="s">
        <v>4</v>
      </c>
      <c r="F7" t="s">
        <v>5</v>
      </c>
      <c r="G7" t="s">
        <v>6</v>
      </c>
      <c r="K7" t="s">
        <v>10</v>
      </c>
      <c r="L7">
        <f>E8</f>
        <v>87.241897956980921</v>
      </c>
    </row>
    <row r="8" spans="1:12" x14ac:dyDescent="0.25">
      <c r="A8" t="s">
        <v>17</v>
      </c>
      <c r="B8">
        <v>1.5833333333333333</v>
      </c>
      <c r="D8" t="s">
        <v>22</v>
      </c>
      <c r="E8">
        <f>B2*L2/100</f>
        <v>87.241897956980921</v>
      </c>
      <c r="F8">
        <f>B2*L3/100</f>
        <v>11.210403529859914</v>
      </c>
      <c r="G8">
        <f>B2*L4/100</f>
        <v>0.36012841950167451</v>
      </c>
      <c r="K8" t="s">
        <v>11</v>
      </c>
      <c r="L8">
        <f>F8+E9</f>
        <v>11.96421498754396</v>
      </c>
    </row>
    <row r="9" spans="1:12" x14ac:dyDescent="0.25">
      <c r="A9" t="s">
        <v>20</v>
      </c>
      <c r="B9">
        <v>0.79999999999999993</v>
      </c>
      <c r="D9" t="s">
        <v>23</v>
      </c>
      <c r="E9">
        <f>B3*L2/100</f>
        <v>0.75381145768404634</v>
      </c>
      <c r="F9">
        <f>B3*L3/100</f>
        <v>9.6863213936921072E-2</v>
      </c>
      <c r="G9">
        <f>B3*L4/100</f>
        <v>3.1116806857167485E-3</v>
      </c>
      <c r="K9" t="s">
        <v>12</v>
      </c>
      <c r="L9">
        <f>G8+F9+E10</f>
        <v>0.79856245062956277</v>
      </c>
    </row>
    <row r="10" spans="1:12" x14ac:dyDescent="0.25">
      <c r="A10" t="s">
        <v>18</v>
      </c>
      <c r="B10">
        <v>2.8933333333333331</v>
      </c>
      <c r="D10" t="s">
        <v>24</v>
      </c>
      <c r="E10">
        <f>B4*L2/100</f>
        <v>0.34157081719096721</v>
      </c>
      <c r="F10">
        <f>B4*L3/100</f>
        <v>4.3891143870149536E-2</v>
      </c>
      <c r="G10">
        <f>B4*L4/100</f>
        <v>1.4099803124816756E-3</v>
      </c>
      <c r="K10" t="s">
        <v>13</v>
      </c>
      <c r="L10">
        <f>G9+F10</f>
        <v>4.7002824555866282E-2</v>
      </c>
    </row>
    <row r="11" spans="1:12" x14ac:dyDescent="0.25">
      <c r="A11" t="s">
        <v>21</v>
      </c>
      <c r="B11">
        <v>0</v>
      </c>
      <c r="K11" t="s">
        <v>14</v>
      </c>
      <c r="L11">
        <f>G10</f>
        <v>1.4099803124816756E-3</v>
      </c>
    </row>
    <row r="12" spans="1:12" x14ac:dyDescent="0.25">
      <c r="A12" t="s">
        <v>19</v>
      </c>
      <c r="B12">
        <v>0</v>
      </c>
    </row>
    <row r="13" spans="1:12" x14ac:dyDescent="0.25">
      <c r="D13" t="s">
        <v>15</v>
      </c>
      <c r="K13" t="s">
        <v>25</v>
      </c>
    </row>
    <row r="14" spans="1:12" x14ac:dyDescent="0.25">
      <c r="E14" t="s">
        <v>10</v>
      </c>
      <c r="F14" t="s">
        <v>11</v>
      </c>
      <c r="G14" t="s">
        <v>12</v>
      </c>
      <c r="H14" t="s">
        <v>13</v>
      </c>
      <c r="I14" t="s">
        <v>14</v>
      </c>
      <c r="K14" t="s">
        <v>26</v>
      </c>
      <c r="L14">
        <f>E15</f>
        <v>82.641341871382778</v>
      </c>
    </row>
    <row r="15" spans="1:12" x14ac:dyDescent="0.25">
      <c r="D15" t="s">
        <v>16</v>
      </c>
      <c r="E15">
        <f>B7*L7/100</f>
        <v>82.641341871382778</v>
      </c>
      <c r="F15">
        <f>B7*L8/100</f>
        <v>11.333302050534138</v>
      </c>
      <c r="G15">
        <f>B7*L9/100</f>
        <v>0.75645159073303037</v>
      </c>
      <c r="H15">
        <f>B7*L10/100</f>
        <v>4.4524208940953588E-2</v>
      </c>
      <c r="I15">
        <f>B7*L11/100</f>
        <v>1.3356273506701416E-3</v>
      </c>
      <c r="K15" t="s">
        <v>27</v>
      </c>
      <c r="L15">
        <f>E16+F15</f>
        <v>12.714632101519669</v>
      </c>
    </row>
    <row r="16" spans="1:12" x14ac:dyDescent="0.25">
      <c r="D16" t="s">
        <v>17</v>
      </c>
      <c r="E16">
        <f>B8*L7/100</f>
        <v>1.3813300509855313</v>
      </c>
      <c r="F16">
        <f>B8*L8/100</f>
        <v>0.18943340396944602</v>
      </c>
      <c r="G16">
        <f>B8*L9/100</f>
        <v>1.264390546830141E-2</v>
      </c>
      <c r="H16">
        <f>B8*L10/100</f>
        <v>7.442113888012161E-4</v>
      </c>
      <c r="I16">
        <f>B8*L11/100</f>
        <v>2.2324688280959863E-5</v>
      </c>
      <c r="K16" t="s">
        <v>28</v>
      </c>
      <c r="L16">
        <f>E17+F16+G15</f>
        <v>1.6438201783583235</v>
      </c>
    </row>
    <row r="17" spans="4:12" x14ac:dyDescent="0.25">
      <c r="D17" t="s">
        <v>20</v>
      </c>
      <c r="E17">
        <f>B9*L7/100</f>
        <v>0.69793518365584728</v>
      </c>
      <c r="F17">
        <f>B9*L8/100</f>
        <v>9.5713719900351671E-2</v>
      </c>
      <c r="G17">
        <f>B9*L9/100</f>
        <v>6.3884996050365015E-3</v>
      </c>
      <c r="H17">
        <f>B9*L10/100</f>
        <v>3.760225964469302E-4</v>
      </c>
      <c r="I17">
        <f>B9*L11/100</f>
        <v>1.1279842499853404E-5</v>
      </c>
      <c r="K17" t="s">
        <v>29</v>
      </c>
      <c r="L17">
        <f>E18+F17+G16+H15</f>
        <v>2.6770807485315875</v>
      </c>
    </row>
    <row r="18" spans="4:12" x14ac:dyDescent="0.25">
      <c r="D18" t="s">
        <v>18</v>
      </c>
      <c r="E18">
        <f>B10*L7/100</f>
        <v>2.5241989142219809</v>
      </c>
      <c r="F18">
        <f>B10*L8/100</f>
        <v>0.34616462030627188</v>
      </c>
      <c r="G18">
        <f>B10*L9/100</f>
        <v>2.3105073571548684E-2</v>
      </c>
      <c r="H18">
        <f>B10*L10/100</f>
        <v>1.3599483904830642E-3</v>
      </c>
      <c r="I18">
        <f>B10*L11/100</f>
        <v>4.0795430374469811E-5</v>
      </c>
      <c r="K18" t="s">
        <v>30</v>
      </c>
      <c r="L18">
        <f>E19+F18+G17+H16+I15</f>
        <v>0.35463295865077976</v>
      </c>
    </row>
    <row r="19" spans="4:12" x14ac:dyDescent="0.25">
      <c r="D19" t="s">
        <v>21</v>
      </c>
      <c r="E19">
        <f>B11*L7/100</f>
        <v>0</v>
      </c>
      <c r="F19">
        <f>B11*L8/100</f>
        <v>0</v>
      </c>
      <c r="G19">
        <f>B11*L9/100</f>
        <v>0</v>
      </c>
      <c r="H19">
        <f>B11*L10/100</f>
        <v>0</v>
      </c>
      <c r="I19">
        <f>B11*L11/100</f>
        <v>0</v>
      </c>
      <c r="K19" t="s">
        <v>31</v>
      </c>
      <c r="L19">
        <f>E20+F19+G18+H17+I16</f>
        <v>2.3503420856276575E-2</v>
      </c>
    </row>
    <row r="20" spans="4:12" x14ac:dyDescent="0.25">
      <c r="D20" t="s">
        <v>19</v>
      </c>
      <c r="E20">
        <f>B12*L7/100</f>
        <v>0</v>
      </c>
      <c r="F20">
        <f>B12*L8/100</f>
        <v>0</v>
      </c>
      <c r="G20">
        <f>B12*L9/100</f>
        <v>0</v>
      </c>
      <c r="H20">
        <f>B12*L10/100</f>
        <v>0</v>
      </c>
      <c r="I20">
        <f>B12*L11/100</f>
        <v>0</v>
      </c>
      <c r="K20" t="s">
        <v>32</v>
      </c>
      <c r="L20">
        <f>F20+G19+H18+I17</f>
        <v>1.3712282329829176E-3</v>
      </c>
    </row>
    <row r="21" spans="4:12" x14ac:dyDescent="0.25">
      <c r="K21" t="s">
        <v>33</v>
      </c>
      <c r="L21">
        <f>G20+H19+I18</f>
        <v>4.0795430374469811E-5</v>
      </c>
    </row>
    <row r="22" spans="4:12" x14ac:dyDescent="0.25">
      <c r="K22" t="s">
        <v>34</v>
      </c>
      <c r="L22">
        <f>H20+I19</f>
        <v>0</v>
      </c>
    </row>
    <row r="23" spans="4:12" x14ac:dyDescent="0.25">
      <c r="K23" t="s">
        <v>35</v>
      </c>
      <c r="L23">
        <f>I20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P1E</vt:lpstr>
      <vt:lpstr>P1N</vt:lpstr>
      <vt:lpstr>P2E</vt:lpstr>
      <vt:lpstr>P4E</vt:lpstr>
      <vt:lpstr>P4N</vt:lpstr>
      <vt:lpstr>P6E</vt:lpstr>
      <vt:lpstr>P6N</vt:lpstr>
      <vt:lpstr>P7E</vt:lpstr>
      <vt:lpstr>P7N</vt:lpstr>
      <vt:lpstr>P8N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Meghdadi, Baharan</cp:lastModifiedBy>
  <dcterms:created xsi:type="dcterms:W3CDTF">2024-03-04T20:48:39Z</dcterms:created>
  <dcterms:modified xsi:type="dcterms:W3CDTF">2024-08-01T16:00:55Z</dcterms:modified>
</cp:coreProperties>
</file>